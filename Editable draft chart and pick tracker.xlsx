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074c54342bb960b/Lovelace/2026 Pre-season/Rub Files/"/>
    </mc:Choice>
  </mc:AlternateContent>
  <xr:revisionPtr revIDLastSave="28" documentId="8_{F2DA8C0B-B435-4005-AFA9-8F834BA16315}" xr6:coauthVersionLast="47" xr6:coauthVersionMax="47" xr10:uidLastSave="{8610A2C3-FC6C-4BDE-B77D-043E1E3D5D4F}"/>
  <bookViews>
    <workbookView xWindow="-98" yWindow="-98" windowWidth="38596" windowHeight="16395" xr2:uid="{602AF9B0-00B5-4576-9B12-03C1A9A0BEE4}"/>
  </bookViews>
  <sheets>
    <sheet name="Draft Chart &amp; Pick Tracker" sheetId="1" r:id="rId1"/>
  </sheets>
  <definedNames>
    <definedName name="CTW_2016">#REF!</definedName>
    <definedName name="Five_2016">#REF!</definedName>
    <definedName name="FLB_2016">#REF!</definedName>
    <definedName name="FRF_2016">#REF!</definedName>
    <definedName name="HLB_2016">#REF!</definedName>
    <definedName name="HOK_2016">#REF!</definedName>
    <definedName name="Origin2">#REF!</definedName>
    <definedName name="_xlnm.Print_Area" localSheetId="0">'Draft Chart &amp; Pick Tracker'!$B$1:$S$69</definedName>
    <definedName name="Second_20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1" l="1"/>
  <c r="F92" i="1"/>
  <c r="F91" i="1"/>
  <c r="F90" i="1"/>
  <c r="F89" i="1"/>
  <c r="F88" i="1"/>
  <c r="F87" i="1"/>
  <c r="F86" i="1"/>
  <c r="F85" i="1"/>
  <c r="N84" i="1"/>
  <c r="M84" i="1"/>
  <c r="L84" i="1"/>
  <c r="K84" i="1"/>
  <c r="I84" i="1"/>
  <c r="F84" i="1"/>
  <c r="L83" i="1"/>
  <c r="I83" i="1"/>
  <c r="F83" i="1"/>
  <c r="M82" i="1"/>
  <c r="K82" i="1"/>
  <c r="I82" i="1"/>
  <c r="F82" i="1"/>
  <c r="N81" i="1"/>
  <c r="L81" i="1"/>
  <c r="K81" i="1"/>
  <c r="I81" i="1"/>
  <c r="F81" i="1"/>
  <c r="L80" i="1"/>
  <c r="I80" i="1"/>
  <c r="F80" i="1"/>
  <c r="L79" i="1"/>
  <c r="I79" i="1"/>
  <c r="F79" i="1"/>
  <c r="L78" i="1"/>
  <c r="I78" i="1"/>
  <c r="F78" i="1"/>
  <c r="N77" i="1"/>
  <c r="M77" i="1"/>
  <c r="L77" i="1"/>
  <c r="K77" i="1"/>
  <c r="I77" i="1"/>
  <c r="F77" i="1"/>
  <c r="B77" i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L76" i="1"/>
  <c r="I76" i="1"/>
  <c r="F76" i="1"/>
  <c r="C65" i="1"/>
  <c r="C60" i="1"/>
  <c r="R59" i="1"/>
  <c r="C55" i="1"/>
  <c r="R53" i="1"/>
  <c r="C50" i="1"/>
  <c r="R47" i="1"/>
  <c r="C45" i="1"/>
  <c r="R41" i="1"/>
  <c r="C40" i="1"/>
  <c r="R35" i="1"/>
  <c r="C35" i="1"/>
  <c r="C30" i="1"/>
  <c r="R29" i="1"/>
  <c r="C25" i="1"/>
  <c r="R23" i="1"/>
  <c r="C20" i="1"/>
  <c r="R17" i="1"/>
  <c r="C15" i="1"/>
  <c r="R11" i="1"/>
  <c r="C10" i="1"/>
  <c r="C5" i="1"/>
  <c r="I3" i="1"/>
  <c r="J79" i="1" l="1"/>
  <c r="J81" i="1"/>
  <c r="J80" i="1"/>
  <c r="J82" i="1"/>
  <c r="J78" i="1"/>
  <c r="J77" i="1"/>
  <c r="J76" i="1"/>
</calcChain>
</file>

<file path=xl/sharedStrings.xml><?xml version="1.0" encoding="utf-8"?>
<sst xmlns="http://schemas.openxmlformats.org/spreadsheetml/2006/main" count="3386" uniqueCount="527">
  <si>
    <t>DUALS</t>
  </si>
  <si>
    <t>THE WEEKLY RUB DOWN</t>
  </si>
  <si>
    <t>GF System:</t>
  </si>
  <si>
    <t>ROUND 26</t>
  </si>
  <si>
    <t>PRE-SEASON DRAFT CHART - THE CHEAT SHEET</t>
  </si>
  <si>
    <r>
      <rPr>
        <b/>
        <sz val="10"/>
        <color theme="1"/>
        <rFont val="Tenorite"/>
      </rPr>
      <t xml:space="preserve">Rd23 bye: </t>
    </r>
    <r>
      <rPr>
        <sz val="10"/>
        <color rgb="FFFFC000"/>
        <rFont val="Tenorite"/>
      </rPr>
      <t>TIGERS</t>
    </r>
    <r>
      <rPr>
        <b/>
        <sz val="10"/>
        <color theme="1"/>
        <rFont val="Tenorite"/>
      </rPr>
      <t xml:space="preserve">
Rd24 bye:</t>
    </r>
    <r>
      <rPr>
        <sz val="10"/>
        <color theme="1"/>
        <rFont val="Tenorite"/>
      </rPr>
      <t xml:space="preserve"> </t>
    </r>
    <r>
      <rPr>
        <sz val="10"/>
        <color rgb="FFEA8B00"/>
        <rFont val="Tenorite"/>
      </rPr>
      <t>STORM</t>
    </r>
    <r>
      <rPr>
        <sz val="10"/>
        <color theme="1"/>
        <rFont val="Tenorite"/>
      </rPr>
      <t xml:space="preserve"> 
</t>
    </r>
    <r>
      <rPr>
        <b/>
        <sz val="10"/>
        <color theme="1"/>
        <rFont val="Tenorite"/>
      </rPr>
      <t>Rd25 bye</t>
    </r>
    <r>
      <rPr>
        <sz val="10"/>
        <color theme="1"/>
        <rFont val="Tenorite"/>
      </rPr>
      <t xml:space="preserve">: </t>
    </r>
    <r>
      <rPr>
        <sz val="10"/>
        <color rgb="FFEA8B00"/>
        <rFont val="Tenorite"/>
      </rPr>
      <t>COWBOYS</t>
    </r>
    <r>
      <rPr>
        <sz val="10"/>
        <color theme="1"/>
        <rFont val="Tenorite"/>
      </rPr>
      <t xml:space="preserve">
</t>
    </r>
    <r>
      <rPr>
        <b/>
        <sz val="10"/>
        <color theme="1"/>
        <rFont val="Tenorite"/>
      </rPr>
      <t>Rd26 bye</t>
    </r>
    <r>
      <rPr>
        <sz val="10"/>
        <color theme="1"/>
        <rFont val="Tenorite"/>
      </rPr>
      <t xml:space="preserve">: </t>
    </r>
    <r>
      <rPr>
        <sz val="10"/>
        <color rgb="FFFF0000"/>
        <rFont val="Tenorite"/>
      </rPr>
      <t>RAIDERS</t>
    </r>
  </si>
  <si>
    <t>Approx Round 
(10 team league)</t>
  </si>
  <si>
    <t>Draft Pick Range</t>
  </si>
  <si>
    <t>FLB</t>
  </si>
  <si>
    <t>CTW</t>
  </si>
  <si>
    <t>5-8</t>
  </si>
  <si>
    <t>HFB</t>
  </si>
  <si>
    <t>2RF</t>
  </si>
  <si>
    <t>FRF</t>
  </si>
  <si>
    <t>HOK</t>
  </si>
  <si>
    <t>Approx Round 
(12 team league)</t>
  </si>
  <si>
    <t>SC Pos</t>
  </si>
  <si>
    <t>Dual?</t>
  </si>
  <si>
    <t>1-12</t>
  </si>
  <si>
    <t>ROUND 22</t>
  </si>
  <si>
    <t>Grant Anderson</t>
  </si>
  <si>
    <t>Asu Kepaoa</t>
  </si>
  <si>
    <t>ROUND 27</t>
  </si>
  <si>
    <t>ROUND 23</t>
  </si>
  <si>
    <t>Jesse Arthars</t>
  </si>
  <si>
    <t>Bradman Best</t>
  </si>
  <si>
    <t>ROUND 24</t>
  </si>
  <si>
    <t>Coby Black</t>
  </si>
  <si>
    <t>Brodie Jones</t>
  </si>
  <si>
    <t>ROUND 25</t>
  </si>
  <si>
    <t>Patrick Carrigan</t>
  </si>
  <si>
    <t>Dane Gagai</t>
  </si>
  <si>
    <t>Tom Duffy</t>
  </si>
  <si>
    <t>Dominic Young</t>
  </si>
  <si>
    <t>Jack Gosiewski</t>
  </si>
  <si>
    <t>Dylan Brown</t>
  </si>
  <si>
    <t>Payne Haas</t>
  </si>
  <si>
    <t>Dylan Lucas</t>
  </si>
  <si>
    <t>Ben Hunt</t>
  </si>
  <si>
    <t>Fletcher Hunt</t>
  </si>
  <si>
    <t>Jaiyden Hunt</t>
  </si>
  <si>
    <t>Fletcher Sharpe</t>
  </si>
  <si>
    <t>Corey Jensen</t>
  </si>
  <si>
    <t>Greg Marzhew</t>
  </si>
  <si>
    <t>Josiah Karapani</t>
  </si>
  <si>
    <t>Harrison Graham</t>
  </si>
  <si>
    <t>Ezra Mam</t>
  </si>
  <si>
    <t>Jacob Saifiti</t>
  </si>
  <si>
    <t>Deine Mariner</t>
  </si>
  <si>
    <t>James Schiller</t>
  </si>
  <si>
    <t>Blake Mozer</t>
  </si>
  <si>
    <t>Jermaine McEwen</t>
  </si>
  <si>
    <t>Cory Paix</t>
  </si>
  <si>
    <t>Kalyn Ponga</t>
  </si>
  <si>
    <t>Hayze Perham</t>
  </si>
  <si>
    <t>Kyle McCarthy</t>
  </si>
  <si>
    <t>Brendan Piakura</t>
  </si>
  <si>
    <t>Matt Arthur</t>
  </si>
  <si>
    <t>Adam Reynolds</t>
  </si>
  <si>
    <t>Matt Croker</t>
  </si>
  <si>
    <t>Jordan Riki</t>
  </si>
  <si>
    <t>Phoenix Crossland</t>
  </si>
  <si>
    <t>Josh Rogers</t>
  </si>
  <si>
    <t>Sandon Smith</t>
  </si>
  <si>
    <t>Gehamat Shibasaki</t>
  </si>
  <si>
    <t>Thomas Cant</t>
  </si>
  <si>
    <t>Kotoni Staggs</t>
  </si>
  <si>
    <t>Trey Mooney</t>
  </si>
  <si>
    <t>Ben Talty</t>
  </si>
  <si>
    <t>Tyson Frizell</t>
  </si>
  <si>
    <t>Aublix Tawha</t>
  </si>
  <si>
    <t>Tyson Gamble</t>
  </si>
  <si>
    <t>Benjamin TeKura</t>
  </si>
  <si>
    <t>Ata Mariota</t>
  </si>
  <si>
    <t>Reece Walsh</t>
  </si>
  <si>
    <t>Chevy Stewart</t>
  </si>
  <si>
    <t>Billy Walters</t>
  </si>
  <si>
    <t>Xavier Willison</t>
  </si>
  <si>
    <t>Corey Horsburgh</t>
  </si>
  <si>
    <t>Fletcher Baker</t>
  </si>
  <si>
    <t>Daine Laurie</t>
  </si>
  <si>
    <t>Matt Burton</t>
  </si>
  <si>
    <t>Ethan Sanders</t>
  </si>
  <si>
    <t>Gordon ChanKumTong</t>
  </si>
  <si>
    <t>Ethan Strange</t>
  </si>
  <si>
    <t>Stephen Crichton</t>
  </si>
  <si>
    <t>Hudson Young</t>
  </si>
  <si>
    <t>Joshua Curran</t>
  </si>
  <si>
    <t>Jayden Brailey</t>
  </si>
  <si>
    <t>Kade Dykes</t>
  </si>
  <si>
    <t>Jed Stuart</t>
  </si>
  <si>
    <t>Lachlan Galvin</t>
  </si>
  <si>
    <t>Joseph Tapine</t>
  </si>
  <si>
    <t>Harry Hayes</t>
  </si>
  <si>
    <t>Josh Papalii</t>
  </si>
  <si>
    <t>Bailey Hayward</t>
  </si>
  <si>
    <t>Kaeo Weekes</t>
  </si>
  <si>
    <t>Lipoi Hopoi</t>
  </si>
  <si>
    <t>Matthew Timoko</t>
  </si>
  <si>
    <t>Samuel Hughes</t>
  </si>
  <si>
    <t>Matty Nicholson</t>
  </si>
  <si>
    <t>Viliame Kikau</t>
  </si>
  <si>
    <t>Morgan Smithies</t>
  </si>
  <si>
    <t>Max King</t>
  </si>
  <si>
    <t>Owen Pattie</t>
  </si>
  <si>
    <t>Jacob Kiraz</t>
  </si>
  <si>
    <t>Savelio Tamale</t>
  </si>
  <si>
    <t>Kurt Mann</t>
  </si>
  <si>
    <t>Sebastian Kris</t>
  </si>
  <si>
    <t>Marcelo Montoya</t>
  </si>
  <si>
    <t>Simi Sasagi</t>
  </si>
  <si>
    <t>Sean OSullivan</t>
  </si>
  <si>
    <t>Sione Finau</t>
  </si>
  <si>
    <t>Jacob Preston</t>
  </si>
  <si>
    <t>Tom Starling</t>
  </si>
  <si>
    <t>Jaeman Salmon</t>
  </si>
  <si>
    <t>Xavier Savage</t>
  </si>
  <si>
    <t>Daniel Suluka-Fifita</t>
  </si>
  <si>
    <t>Zac Hosking</t>
  </si>
  <si>
    <t>Leo Thompson</t>
  </si>
  <si>
    <t>Braidon Burns</t>
  </si>
  <si>
    <t>Jack Todd</t>
  </si>
  <si>
    <t>Coen Hess</t>
  </si>
  <si>
    <t>Connor Tracey</t>
  </si>
  <si>
    <t>Griffin Neame</t>
  </si>
  <si>
    <t>Enari Tuala</t>
  </si>
  <si>
    <t>Harrison Edwards</t>
  </si>
  <si>
    <t>Sitili Tupouniua</t>
  </si>
  <si>
    <t>Heilum Luki</t>
  </si>
  <si>
    <t>Jake Turpin</t>
  </si>
  <si>
    <t>Jake Clifford</t>
  </si>
  <si>
    <t>Mitchell Woods</t>
  </si>
  <si>
    <t>Jason Taumalolo</t>
  </si>
  <si>
    <t>Bronson Xerri</t>
  </si>
  <si>
    <t>Jaxon Purdue</t>
  </si>
  <si>
    <t>Euan Aitken</t>
  </si>
  <si>
    <t>Jaxson Paulo</t>
  </si>
  <si>
    <t>Jai Arrow</t>
  </si>
  <si>
    <t>Jeremiah Nanai</t>
  </si>
  <si>
    <t>Bayleigh Bentley-Hape</t>
  </si>
  <si>
    <t>John Bateman</t>
  </si>
  <si>
    <t>Tallis Duncan</t>
  </si>
  <si>
    <t>Kai ODonnell</t>
  </si>
  <si>
    <t>121-130</t>
  </si>
  <si>
    <t>David Fifita</t>
  </si>
  <si>
    <t>Matt Lodge</t>
  </si>
  <si>
    <t>Bronson Garlick</t>
  </si>
  <si>
    <t>Murray Taulagi</t>
  </si>
  <si>
    <t>Campbell Graham</t>
  </si>
  <si>
    <t>Reed Mahoney</t>
  </si>
  <si>
    <t>Moala Graham-Taufa</t>
  </si>
  <si>
    <t>Reuben Cotter</t>
  </si>
  <si>
    <t>Jye Gray</t>
  </si>
  <si>
    <t>Robert Derby</t>
  </si>
  <si>
    <t>Lachlan Hubner</t>
  </si>
  <si>
    <t>Sam McIntyre</t>
  </si>
  <si>
    <t>Jamie Humphreys</t>
  </si>
  <si>
    <t>Scott Drinkwater</t>
  </si>
  <si>
    <t>DRAFT PICK TRACKER</t>
  </si>
  <si>
    <t>Alex Johnston</t>
  </si>
  <si>
    <t>Thomas Dearden</t>
  </si>
  <si>
    <t>League Size</t>
  </si>
  <si>
    <t>FILL IN HERE</t>
  </si>
  <si>
    <t>Sean Keppie</t>
  </si>
  <si>
    <t>Thomas Mikaele</t>
  </si>
  <si>
    <t>FLEX?</t>
  </si>
  <si>
    <t>↓</t>
  </si>
  <si>
    <t>DRAFTED TEAM</t>
  </si>
  <si>
    <t>Keaon Koloamatangi</t>
  </si>
  <si>
    <t>Tom Chester</t>
  </si>
  <si>
    <t>PICK</t>
  </si>
  <si>
    <t>ROUND</t>
  </si>
  <si>
    <t>Team Pick Tracker</t>
  </si>
  <si>
    <t>Position Selected</t>
  </si>
  <si>
    <t>SC Position</t>
  </si>
  <si>
    <t xml:space="preserve">Player Selected </t>
  </si>
  <si>
    <t>Selected Position Options</t>
  </si>
  <si>
    <t>Edward Kosi</t>
  </si>
  <si>
    <t>Viliami Vailea</t>
  </si>
  <si>
    <t>→</t>
  </si>
  <si>
    <t>Liam LeBlanc</t>
  </si>
  <si>
    <t>Zac Laybutt</t>
  </si>
  <si>
    <t>Peter Mamouzelos</t>
  </si>
  <si>
    <t>Alec MacDonald</t>
  </si>
  <si>
    <t>Latrell Mitchell</t>
  </si>
  <si>
    <t>Cameron Munster</t>
  </si>
  <si>
    <t>Tyrone Munro</t>
  </si>
  <si>
    <t>Davvy Moale</t>
  </si>
  <si>
    <t>Cameron Murray</t>
  </si>
  <si>
    <t>Eliesa Katoa</t>
  </si>
  <si>
    <t>Fletcher Myers</t>
  </si>
  <si>
    <t>Harry Grant</t>
  </si>
  <si>
    <t>Brandon Smith</t>
  </si>
  <si>
    <t>Jack Hetherington</t>
  </si>
  <si>
    <t>FLEX</t>
  </si>
  <si>
    <t>Jayden Sullivan</t>
  </si>
  <si>
    <t>Jack Howarth</t>
  </si>
  <si>
    <t>BENCH</t>
  </si>
  <si>
    <t>Isaiah Tass</t>
  </si>
  <si>
    <t>Jahrome Hughes</t>
  </si>
  <si>
    <t>Tevita Tatola</t>
  </si>
  <si>
    <t>Joe Chan</t>
  </si>
  <si>
    <t>Cody Walker</t>
  </si>
  <si>
    <t>Josh King</t>
  </si>
  <si>
    <t>Ashton Ward</t>
  </si>
  <si>
    <t>Josiah Pahulu</t>
  </si>
  <si>
    <t>Jack Wighton</t>
  </si>
  <si>
    <t>Lazarus Vaalepu</t>
  </si>
  <si>
    <t>Marion Seve</t>
  </si>
  <si>
    <t>Moses Leo</t>
  </si>
  <si>
    <t>Nick Meaney</t>
  </si>
  <si>
    <t>Shawn Blore</t>
  </si>
  <si>
    <t>Stefano Utoikamanu</t>
  </si>
  <si>
    <t>Sua Faalogo</t>
  </si>
  <si>
    <t>Trent Loiero</t>
  </si>
  <si>
    <t>Trent Toelau</t>
  </si>
  <si>
    <t>Tui Kamikamica</t>
  </si>
  <si>
    <t>Tyran Wishart</t>
  </si>
  <si>
    <t>Karl Lawton</t>
  </si>
  <si>
    <t>William Warbrick</t>
  </si>
  <si>
    <t>Xavier Coates</t>
  </si>
  <si>
    <t>Adam Doueihi</t>
  </si>
  <si>
    <t>Alex Seyfarth</t>
  </si>
  <si>
    <t>Alex Twal</t>
  </si>
  <si>
    <t>Apisai Koroisau</t>
  </si>
  <si>
    <t>Bunty Afoa</t>
  </si>
  <si>
    <t>Fonua Pole</t>
  </si>
  <si>
    <t>Heath Mason</t>
  </si>
  <si>
    <t>Jack Bird</t>
  </si>
  <si>
    <t>Jahream Bula</t>
  </si>
  <si>
    <t>Jarome Luai</t>
  </si>
  <si>
    <t>Jeral Skelton</t>
  </si>
  <si>
    <t>Jock Madden</t>
  </si>
  <si>
    <t>Jake Averillo</t>
  </si>
  <si>
    <t>Kai Pearce-Paul</t>
  </si>
  <si>
    <t>Jack Bostock</t>
  </si>
  <si>
    <t>Latu Fainu</t>
  </si>
  <si>
    <t>Selwyn Cobbo</t>
  </si>
  <si>
    <t>Luke Laulilii</t>
  </si>
  <si>
    <t>Kurt Donoghoe</t>
  </si>
  <si>
    <t>Mavrik Geyer</t>
  </si>
  <si>
    <t>Herbie Farnworth</t>
  </si>
  <si>
    <t>Royce Hunt</t>
  </si>
  <si>
    <t>Max Feagai</t>
  </si>
  <si>
    <t>Samuela Fainu</t>
  </si>
  <si>
    <t>Kulikefu Finefeuiaki</t>
  </si>
  <si>
    <t>Sione Fainu</t>
  </si>
  <si>
    <t>Thomas Flegler</t>
  </si>
  <si>
    <t>Starford To'a</t>
  </si>
  <si>
    <t>Trai Fuller</t>
  </si>
  <si>
    <t>Sunia Turuva</t>
  </si>
  <si>
    <t>Tom Gilbert</t>
  </si>
  <si>
    <t>Taylan May</t>
  </si>
  <si>
    <t>Jamayne Isaako</t>
  </si>
  <si>
    <t>Terrell May</t>
  </si>
  <si>
    <t>Isaiya Katoa</t>
  </si>
  <si>
    <t>Tony Sukkar</t>
  </si>
  <si>
    <t>Felise Kaufusi</t>
  </si>
  <si>
    <t>Tristan Hope</t>
  </si>
  <si>
    <t>Oryn Keeley</t>
  </si>
  <si>
    <t>Aaron Schoupp</t>
  </si>
  <si>
    <t>Morgan Knowles</t>
  </si>
  <si>
    <t>Ben Trbojevic</t>
  </si>
  <si>
    <t>Connelly Lemuelu</t>
  </si>
  <si>
    <t>Blake Wilson</t>
  </si>
  <si>
    <t>Jeremy Marshall-King</t>
  </si>
  <si>
    <t>Caleb Navale</t>
  </si>
  <si>
    <t>Francis Molo</t>
  </si>
  <si>
    <t>Clayton Faulalo</t>
  </si>
  <si>
    <t>Tevita Naufahu</t>
  </si>
  <si>
    <t>Corey Waddell</t>
  </si>
  <si>
    <t>Kodi Nikorima</t>
  </si>
  <si>
    <t>Ethan Bullemor</t>
  </si>
  <si>
    <t>Karl Oloapu</t>
  </si>
  <si>
    <t>Haumole Olakauatu</t>
  </si>
  <si>
    <t>Max Plath</t>
  </si>
  <si>
    <t>Jake Simpkin</t>
  </si>
  <si>
    <t>Daniel Saifiti</t>
  </si>
  <si>
    <t>Jake Trbojevic</t>
  </si>
  <si>
    <t>Brad Schneider</t>
  </si>
  <si>
    <t>Jamal Fogarty</t>
  </si>
  <si>
    <t>Ray Stone</t>
  </si>
  <si>
    <t>Jason Saab</t>
  </si>
  <si>
    <t>Hamiso Tabuai-Fidow</t>
  </si>
  <si>
    <t>Joey Walsh</t>
  </si>
  <si>
    <t>Daniel Atkinson</t>
  </si>
  <si>
    <t>Josh Feledy</t>
  </si>
  <si>
    <t>Damien Cook</t>
  </si>
  <si>
    <t>Kobe Hetherington</t>
  </si>
  <si>
    <t>Ryan Couchman</t>
  </si>
  <si>
    <t>Lehi Hopoate</t>
  </si>
  <si>
    <t>Toby Couchman</t>
  </si>
  <si>
    <t>Luke Brooks</t>
  </si>
  <si>
    <t>Dylan Egan</t>
  </si>
  <si>
    <t>Nathan Brown</t>
  </si>
  <si>
    <t>Mathew Feagai</t>
  </si>
  <si>
    <t>Reuben Garrick</t>
  </si>
  <si>
    <t>Kyle Flanagan</t>
  </si>
  <si>
    <t>Siua Taukeiaho</t>
  </si>
  <si>
    <t>Emre Guler</t>
  </si>
  <si>
    <t>Taniela Paseka</t>
  </si>
  <si>
    <t>Clint Gutherson</t>
  </si>
  <si>
    <t>Tolutau Koula</t>
  </si>
  <si>
    <t>Valentine Holmes</t>
  </si>
  <si>
    <t>Tom Trbojevic</t>
  </si>
  <si>
    <t>Josh Kerr</t>
  </si>
  <si>
    <t>Zach Dockar-Clay</t>
  </si>
  <si>
    <t>Lyhkan King-Togia</t>
  </si>
  <si>
    <t>Adam Elliott</t>
  </si>
  <si>
    <t/>
  </si>
  <si>
    <t>Blake Lawrie</t>
  </si>
  <si>
    <t>Adam Pompey</t>
  </si>
  <si>
    <t>Luciano Leilua</t>
  </si>
  <si>
    <t>Jacob Liddle</t>
  </si>
  <si>
    <t>Addin Fonua-Blake</t>
  </si>
  <si>
    <t>Connor Muhleisen</t>
  </si>
  <si>
    <t>Loko PasifikiTonga</t>
  </si>
  <si>
    <t>Alexander Brimson</t>
  </si>
  <si>
    <t>Hame Sele</t>
  </si>
  <si>
    <t>Ali Leiataua</t>
  </si>
  <si>
    <t>Tyrell Sloan</t>
  </si>
  <si>
    <t>Allan Fitzgibbon</t>
  </si>
  <si>
    <t>Hamish Stewart</t>
  </si>
  <si>
    <t>Alofiana Khan-Pereira</t>
  </si>
  <si>
    <t>Jaydn Sua</t>
  </si>
  <si>
    <t>Angus Crichton</t>
  </si>
  <si>
    <t>Moses Suli</t>
  </si>
  <si>
    <t>Arama Hau</t>
  </si>
  <si>
    <t>Christian Tuipulotu</t>
  </si>
  <si>
    <t>Josh Addo-Carr</t>
  </si>
  <si>
    <t>Tallyn DaSilva</t>
  </si>
  <si>
    <t>Jack DeBelin</t>
  </si>
  <si>
    <t>Bailey Simonsson</t>
  </si>
  <si>
    <t>Matthew Doorey</t>
  </si>
  <si>
    <t>Charlie Guymer</t>
  </si>
  <si>
    <t>Beau Fermor</t>
  </si>
  <si>
    <t>Jmaine Hopgood</t>
  </si>
  <si>
    <t>Isaiah Iongi</t>
  </si>
  <si>
    <t>Kitione Kautoga</t>
  </si>
  <si>
    <t>Benaiah Ioelu</t>
  </si>
  <si>
    <t>Dan Keir</t>
  </si>
  <si>
    <t>Zac Lomax</t>
  </si>
  <si>
    <t>Billy Burns</t>
  </si>
  <si>
    <t>Ryan Matterson</t>
  </si>
  <si>
    <t>Billy Smith</t>
  </si>
  <si>
    <t>Luca Moretti</t>
  </si>
  <si>
    <t>Mitchell Moses</t>
  </si>
  <si>
    <t>Blaize Talagi</t>
  </si>
  <si>
    <t>Joash Papali'i</t>
  </si>
  <si>
    <t>Junior Paulo</t>
  </si>
  <si>
    <t>Will Penisini</t>
  </si>
  <si>
    <t>Blake Steep</t>
  </si>
  <si>
    <t>Jonah Pezet</t>
  </si>
  <si>
    <t>Blayke Brailey</t>
  </si>
  <si>
    <t>Sean Russell</t>
  </si>
  <si>
    <t>Jordan Samrani</t>
  </si>
  <si>
    <t>Braden Hamlin-Uele</t>
  </si>
  <si>
    <t>Ryley Smith</t>
  </si>
  <si>
    <t>Braydon Trindall</t>
  </si>
  <si>
    <t>Kelma Tuilagi</t>
  </si>
  <si>
    <t>Sam Tuivaiti</t>
  </si>
  <si>
    <t>Brian Kelly</t>
  </si>
  <si>
    <t>Ronald Volkman</t>
  </si>
  <si>
    <t>Brian Too</t>
  </si>
  <si>
    <t>Dylan Walker</t>
  </si>
  <si>
    <t>Briton Nikora</t>
  </si>
  <si>
    <t>Jack Williams</t>
  </si>
  <si>
    <t>Brock Gray</t>
  </si>
  <si>
    <t>Cameron McInnes</t>
  </si>
  <si>
    <t>Casey Mclean</t>
  </si>
  <si>
    <t>Chanel Harris-Tavita</t>
  </si>
  <si>
    <t>Charnze Nicoll-Klokstad</t>
  </si>
  <si>
    <t>Chris Randall</t>
  </si>
  <si>
    <t>Cody Ramsay</t>
  </si>
  <si>
    <t>Connor Watson</t>
  </si>
  <si>
    <t>Dallin Watene-Zelezniak</t>
  </si>
  <si>
    <t>Daly Cherry-Evans</t>
  </si>
  <si>
    <t>Mason Teague</t>
  </si>
  <si>
    <t>Lachlan Croker</t>
  </si>
  <si>
    <t>Daniel Tupou</t>
  </si>
  <si>
    <t>Delouise Hoeter</t>
  </si>
  <si>
    <t>Demitric Vaimauga</t>
  </si>
  <si>
    <t>Dylan Edwards</t>
  </si>
  <si>
    <t>Egan Butcher</t>
  </si>
  <si>
    <t>Erin Clark</t>
  </si>
  <si>
    <t>Freddy Lussick</t>
  </si>
  <si>
    <t>Paul Alamoti</t>
  </si>
  <si>
    <t>Tom Ale</t>
  </si>
  <si>
    <t>Nathan Cleary</t>
  </si>
  <si>
    <t>Jack Cogger</t>
  </si>
  <si>
    <t>Jack Cole</t>
  </si>
  <si>
    <t>Matthew Eisenhuth</t>
  </si>
  <si>
    <t>Luke Garner</t>
  </si>
  <si>
    <t>Hugo Savala</t>
  </si>
  <si>
    <t>Kalani Going</t>
  </si>
  <si>
    <t>Isaah Yeo</t>
  </si>
  <si>
    <t>Liam Henry</t>
  </si>
  <si>
    <t>Thomas Jenkins</t>
  </si>
  <si>
    <t>Isaiah Papalii</t>
  </si>
  <si>
    <t>Mitchell Kenny</t>
  </si>
  <si>
    <t>Moses Leota</t>
  </si>
  <si>
    <t>Liam Martin</t>
  </si>
  <si>
    <t>Izack Tago</t>
  </si>
  <si>
    <t>Jesse McLean</t>
  </si>
  <si>
    <t>Luron Patea</t>
  </si>
  <si>
    <t>Lindsay Smith</t>
  </si>
  <si>
    <t>Scott Sorensen</t>
  </si>
  <si>
    <t>Jackson Ford</t>
  </si>
  <si>
    <t>Jacob Laban</t>
  </si>
  <si>
    <t>Jaimin Jolliffe</t>
  </si>
  <si>
    <t>James Fisher-Harris</t>
  </si>
  <si>
    <t>James Tedesco</t>
  </si>
  <si>
    <t>Jayden Campbell</t>
  </si>
  <si>
    <t>Jaylan deGroot</t>
  </si>
  <si>
    <t>Jesse Colquhoun</t>
  </si>
  <si>
    <t>Jesse Ramien</t>
  </si>
  <si>
    <t>Jojo Fifita</t>
  </si>
  <si>
    <t>Nat Butcher</t>
  </si>
  <si>
    <t>Lindsay Collins</t>
  </si>
  <si>
    <t>Salesi Foketi</t>
  </si>
  <si>
    <t>Josh Patston</t>
  </si>
  <si>
    <t>Spencer Leniu</t>
  </si>
  <si>
    <t>Taylor Losalu</t>
  </si>
  <si>
    <t>Mark Nawaqanitawase</t>
  </si>
  <si>
    <t>Junior Pauga</t>
  </si>
  <si>
    <t>Victor Radley</t>
  </si>
  <si>
    <t>Junior Tupou</t>
  </si>
  <si>
    <t>Reece Robson</t>
  </si>
  <si>
    <t>Kane Bradley</t>
  </si>
  <si>
    <t>Robert Toia</t>
  </si>
  <si>
    <t>Kayal Iro</t>
  </si>
  <si>
    <t>Keano Kini</t>
  </si>
  <si>
    <t>Sam Walker</t>
  </si>
  <si>
    <t>Naufahu Whyte</t>
  </si>
  <si>
    <t>Klese Haas</t>
  </si>
  <si>
    <t>Siua Wong</t>
  </si>
  <si>
    <t>Krystian Mapapalangi</t>
  </si>
  <si>
    <t>Kurt Capewell</t>
  </si>
  <si>
    <t>Tuku HauTapuha</t>
  </si>
  <si>
    <t>Thomas Hazelton</t>
  </si>
  <si>
    <t>Kurtis Morrin</t>
  </si>
  <si>
    <t>Mawene Hiroti</t>
  </si>
  <si>
    <t>Nicholas Hynes</t>
  </si>
  <si>
    <t>Liam Ison</t>
  </si>
  <si>
    <t>Sione Katoa</t>
  </si>
  <si>
    <t>Lachlan Ilias</t>
  </si>
  <si>
    <t>Oregon Kaufusi</t>
  </si>
  <si>
    <t>William Kennedy</t>
  </si>
  <si>
    <t>Leka Halasima</t>
  </si>
  <si>
    <t>Ronaldo Mulitalo</t>
  </si>
  <si>
    <t>Toby Rudolf</t>
  </si>
  <si>
    <t>Sam Stonestreet</t>
  </si>
  <si>
    <t>Siosifa Talakai</t>
  </si>
  <si>
    <t>Teig Wilton</t>
  </si>
  <si>
    <t>Luke Metcalf</t>
  </si>
  <si>
    <t>Luke Sommerton</t>
  </si>
  <si>
    <t>Marata Niukore</t>
  </si>
  <si>
    <t>Mitchell Barnett</t>
  </si>
  <si>
    <t>Moeaki Fotuaika</t>
  </si>
  <si>
    <t>Phillip Sami</t>
  </si>
  <si>
    <t>Rocco Berry</t>
  </si>
  <si>
    <t>Roger Tuivasa-Sheck</t>
  </si>
  <si>
    <t>Tino Faasuamaleaui</t>
  </si>
  <si>
    <t>Sam Healey</t>
  </si>
  <si>
    <t>Sam Verrills</t>
  </si>
  <si>
    <t>Tony Francis</t>
  </si>
  <si>
    <t>Taine Tuaupiki</t>
  </si>
  <si>
    <t>Tanah Boyd</t>
  </si>
  <si>
    <t>TeMaire Martin</t>
  </si>
  <si>
    <t>Wayde Egan</t>
  </si>
  <si>
    <t>Corey Allan</t>
  </si>
  <si>
    <t>Nelson Asofa-Solomona</t>
  </si>
  <si>
    <t>Adam Cook</t>
  </si>
  <si>
    <t>Raymond Faitala-Mariner</t>
  </si>
  <si>
    <t>Brendan Hands</t>
  </si>
  <si>
    <t>Corey Harawira-Naera</t>
  </si>
  <si>
    <t>Jackson Hastings</t>
  </si>
  <si>
    <t>Dean Hawkins</t>
  </si>
  <si>
    <t>Albert Hopoate</t>
  </si>
  <si>
    <t>Drew Hutchison</t>
  </si>
  <si>
    <t>Richard Kennar</t>
  </si>
  <si>
    <t>David Klemmer</t>
  </si>
  <si>
    <t>Joey Lussick</t>
  </si>
  <si>
    <t>Makahesi Makatoa</t>
  </si>
  <si>
    <t>Michael Molo</t>
  </si>
  <si>
    <t>Sean Mullany</t>
  </si>
  <si>
    <t>Brent Naden</t>
  </si>
  <si>
    <t>Ryan Papenhuyzen</t>
  </si>
  <si>
    <t>Reuben Porter</t>
  </si>
  <si>
    <t>Toafofoa Sipley</t>
  </si>
  <si>
    <t>Luke Smith</t>
  </si>
  <si>
    <t>Jake Tago</t>
  </si>
  <si>
    <t>Tommy Talau</t>
  </si>
  <si>
    <t>Raymond TuaimaloVaega</t>
  </si>
  <si>
    <t>Tom Weaver</t>
  </si>
  <si>
    <t>BRONCOS</t>
  </si>
  <si>
    <t>RAIDERS</t>
  </si>
  <si>
    <t>2RF | FRF</t>
  </si>
  <si>
    <t>YES</t>
  </si>
  <si>
    <t>FLB | CTW</t>
  </si>
  <si>
    <t>5-8 | HOK</t>
  </si>
  <si>
    <t>BULLDOGS</t>
  </si>
  <si>
    <t>BUNNIES</t>
  </si>
  <si>
    <t>2RF | HOK</t>
  </si>
  <si>
    <t>5-8 | HFB</t>
  </si>
  <si>
    <t>COWBOYS</t>
  </si>
  <si>
    <t>CTW | 5-8</t>
  </si>
  <si>
    <t>DOLPHINS</t>
  </si>
  <si>
    <t>TITANS</t>
  </si>
  <si>
    <t>DRAGONS</t>
  </si>
  <si>
    <t>EELS</t>
  </si>
  <si>
    <t>CTW | 2RF</t>
  </si>
  <si>
    <t>KNIGHTS</t>
  </si>
  <si>
    <t>MANLY</t>
  </si>
  <si>
    <t>STORM</t>
  </si>
  <si>
    <t>PANTHERS</t>
  </si>
  <si>
    <t>ROOSTERS</t>
  </si>
  <si>
    <t>SHARKS</t>
  </si>
  <si>
    <t>TIGERS</t>
  </si>
  <si>
    <t>FLB | 5-8</t>
  </si>
  <si>
    <t>WARRIORS</t>
  </si>
  <si>
    <t>Manly</t>
  </si>
  <si>
    <t>Tigers</t>
  </si>
  <si>
    <t>Storm</t>
  </si>
  <si>
    <t>Cowboys</t>
  </si>
  <si>
    <t>Raiders</t>
  </si>
  <si>
    <t>Knights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</si>
</sst>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Calibri"/>
      <family val="2"/>
      <scheme val="minor"/>
    </font>
    <font>
      <sz val="20"/>
      <color theme="1"/>
      <name val="Tenorite"/>
    </font>
    <font>
      <b/>
      <sz val="18"/>
      <color theme="1"/>
      <name val="Tenorite"/>
    </font>
    <font>
      <b/>
      <sz val="20"/>
      <color rgb="FFEA8B00"/>
      <name val="Tenorite"/>
    </font>
    <font>
      <b/>
      <sz val="12"/>
      <color theme="1"/>
      <name val="Tenorite"/>
    </font>
    <font>
      <sz val="12"/>
      <color rgb="FFFF0000"/>
      <name val="Tenorite"/>
    </font>
    <font>
      <sz val="12"/>
      <color theme="1"/>
      <name val="Tenorite"/>
    </font>
    <font>
      <b/>
      <sz val="54"/>
      <name val="Tenorite"/>
    </font>
    <font>
      <sz val="10"/>
      <color theme="1"/>
      <name val="Tenorite"/>
    </font>
    <font>
      <b/>
      <sz val="10"/>
      <color theme="1"/>
      <name val="Tenorite"/>
    </font>
    <font>
      <sz val="10"/>
      <color rgb="FFFFC000"/>
      <name val="Tenorite"/>
    </font>
    <font>
      <sz val="10"/>
      <color rgb="FFEA8B00"/>
      <name val="Tenorite"/>
    </font>
    <font>
      <sz val="10"/>
      <color rgb="FFFF0000"/>
      <name val="Tenorite"/>
    </font>
    <font>
      <b/>
      <sz val="34"/>
      <color theme="5" tint="-0.249977111117893"/>
      <name val="Tenorite"/>
    </font>
    <font>
      <b/>
      <sz val="14"/>
      <color theme="5"/>
      <name val="Tenorite"/>
    </font>
    <font>
      <sz val="8"/>
      <color theme="1"/>
      <name val="Tenorite"/>
    </font>
    <font>
      <b/>
      <sz val="12"/>
      <color rgb="FFEA8B00"/>
      <name val="Tenorite"/>
    </font>
    <font>
      <b/>
      <sz val="16"/>
      <color theme="1"/>
      <name val="Tenorite"/>
    </font>
    <font>
      <b/>
      <sz val="12"/>
      <color rgb="FF00B050"/>
      <name val="Tenorite"/>
    </font>
    <font>
      <sz val="16"/>
      <color theme="1"/>
      <name val="Tenorite"/>
    </font>
    <font>
      <sz val="11"/>
      <color theme="1"/>
      <name val="Tenorite"/>
    </font>
    <font>
      <b/>
      <sz val="24"/>
      <color theme="1"/>
      <name val="Tenorite"/>
    </font>
    <font>
      <b/>
      <sz val="16"/>
      <color rgb="FFFF0000"/>
      <name val="Tenorite"/>
    </font>
    <font>
      <b/>
      <sz val="14"/>
      <color rgb="FFFF0000"/>
      <name val="Tenorite"/>
    </font>
    <font>
      <sz val="18"/>
      <color theme="1"/>
      <name val="Tenorite"/>
    </font>
    <font>
      <b/>
      <sz val="36"/>
      <color theme="1"/>
      <name val="Tenorite"/>
    </font>
    <font>
      <b/>
      <sz val="26"/>
      <color theme="1"/>
      <name val="Tenorite"/>
    </font>
    <font>
      <b/>
      <sz val="12"/>
      <color rgb="FFFF0000"/>
      <name val="Tenorite"/>
    </font>
    <font>
      <b/>
      <sz val="90"/>
      <color theme="1"/>
      <name val="Arial"/>
      <family val="2"/>
    </font>
    <font>
      <sz val="12"/>
      <name val="Tenorite"/>
    </font>
    <font>
      <b/>
      <sz val="90"/>
      <color theme="1"/>
      <name val="Tenorite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 style="medium">
        <color rgb="FFEA8B00"/>
      </right>
      <top/>
      <bottom/>
      <diagonal/>
    </border>
    <border>
      <left style="medium">
        <color rgb="FFEA8B00"/>
      </left>
      <right style="medium">
        <color rgb="FFEA8B00"/>
      </right>
      <top/>
      <bottom/>
      <diagonal/>
    </border>
    <border>
      <left style="medium">
        <color rgb="FFEA8B00"/>
      </left>
      <right/>
      <top/>
      <bottom/>
      <diagonal/>
    </border>
    <border>
      <left style="medium">
        <color rgb="FFEA8B00"/>
      </left>
      <right style="thin">
        <color theme="5" tint="0.79998168889431442"/>
      </right>
      <top style="medium">
        <color rgb="FFEA8B00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rgb="FFEA8B00"/>
      </right>
      <top style="medium">
        <color rgb="FFEA8B00"/>
      </top>
      <bottom style="thin">
        <color theme="5" tint="0.79998168889431442"/>
      </bottom>
      <diagonal/>
    </border>
    <border>
      <left style="medium">
        <color rgb="FFEA8B00"/>
      </left>
      <right/>
      <top style="medium">
        <color rgb="FFEA8B00"/>
      </top>
      <bottom/>
      <diagonal/>
    </border>
    <border>
      <left/>
      <right/>
      <top style="medium">
        <color rgb="FFEA8B00"/>
      </top>
      <bottom/>
      <diagonal/>
    </border>
    <border>
      <left/>
      <right style="medium">
        <color rgb="FFEA8B00"/>
      </right>
      <top style="medium">
        <color rgb="FFEA8B00"/>
      </top>
      <bottom/>
      <diagonal/>
    </border>
    <border>
      <left style="medium">
        <color rgb="FFEA8B00"/>
      </left>
      <right style="thin">
        <color theme="5" tint="0.79998168889431442"/>
      </right>
      <top style="medium">
        <color rgb="FFEA8B00"/>
      </top>
      <bottom/>
      <diagonal/>
    </border>
    <border>
      <left style="thin">
        <color theme="5" tint="0.79998168889431442"/>
      </left>
      <right style="medium">
        <color rgb="FFEA8B00"/>
      </right>
      <top style="medium">
        <color rgb="FFEA8B00"/>
      </top>
      <bottom/>
      <diagonal/>
    </border>
    <border>
      <left style="medium">
        <color rgb="FFEA8B00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rgb="FFEA8B00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rgb="FFEA8B00"/>
      </left>
      <right style="thin">
        <color theme="5" tint="0.79998168889431442"/>
      </right>
      <top/>
      <bottom/>
      <diagonal/>
    </border>
    <border>
      <left style="thin">
        <color theme="5" tint="0.79998168889431442"/>
      </left>
      <right style="medium">
        <color rgb="FFEA8B00"/>
      </right>
      <top/>
      <bottom/>
      <diagonal/>
    </border>
    <border>
      <left style="medium">
        <color rgb="FFEA8B00"/>
      </left>
      <right style="thin">
        <color theme="5" tint="0.79998168889431442"/>
      </right>
      <top style="thin">
        <color theme="5" tint="0.79998168889431442"/>
      </top>
      <bottom style="thin">
        <color rgb="FFEA8B00"/>
      </bottom>
      <diagonal/>
    </border>
    <border>
      <left style="thin">
        <color theme="5" tint="0.79998168889431442"/>
      </left>
      <right style="medium">
        <color rgb="FFEA8B00"/>
      </right>
      <top style="thin">
        <color theme="5" tint="0.79998168889431442"/>
      </top>
      <bottom style="thin">
        <color rgb="FFEA8B00"/>
      </bottom>
      <diagonal/>
    </border>
    <border>
      <left style="medium">
        <color rgb="FFEA8B00"/>
      </left>
      <right/>
      <top/>
      <bottom style="thin">
        <color rgb="FFEA8B00"/>
      </bottom>
      <diagonal/>
    </border>
    <border>
      <left/>
      <right/>
      <top/>
      <bottom style="thin">
        <color rgb="FFEA8B00"/>
      </bottom>
      <diagonal/>
    </border>
    <border>
      <left/>
      <right style="medium">
        <color rgb="FFEA8B00"/>
      </right>
      <top/>
      <bottom style="thin">
        <color rgb="FFEA8B00"/>
      </bottom>
      <diagonal/>
    </border>
    <border>
      <left style="medium">
        <color rgb="FFEA8B00"/>
      </left>
      <right style="thin">
        <color theme="5" tint="0.79998168889431442"/>
      </right>
      <top style="thin">
        <color rgb="FFEA8B00"/>
      </top>
      <bottom style="thin">
        <color theme="5" tint="0.79998168889431442"/>
      </bottom>
      <diagonal/>
    </border>
    <border>
      <left style="thin">
        <color theme="5" tint="0.79998168889431442"/>
      </left>
      <right/>
      <top style="thin">
        <color rgb="FFEA8B00"/>
      </top>
      <bottom style="thin">
        <color theme="5" tint="0.79998168889431442"/>
      </bottom>
      <diagonal/>
    </border>
    <border>
      <left style="medium">
        <color rgb="FFEA8B00"/>
      </left>
      <right/>
      <top/>
      <bottom style="medium">
        <color rgb="FF00B050"/>
      </bottom>
      <diagonal/>
    </border>
    <border>
      <left/>
      <right style="medium">
        <color rgb="FFEA8B00"/>
      </right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rgb="FFEA8B00"/>
      </left>
      <right style="thin">
        <color theme="5" tint="0.79998168889431442"/>
      </right>
      <top style="medium">
        <color rgb="FF00B050"/>
      </top>
      <bottom/>
      <diagonal/>
    </border>
    <border>
      <left style="thin">
        <color theme="5" tint="0.79998168889431442"/>
      </left>
      <right style="medium">
        <color rgb="FFEA8B00"/>
      </right>
      <top style="medium">
        <color rgb="FF00B050"/>
      </top>
      <bottom/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rgb="FFEA8B00"/>
      </bottom>
      <diagonal/>
    </border>
    <border>
      <left style="medium">
        <color rgb="FFEA8B00"/>
      </left>
      <right style="thin">
        <color theme="5" tint="0.79998168889431442"/>
      </right>
      <top/>
      <bottom style="medium">
        <color rgb="FF00B050"/>
      </bottom>
      <diagonal/>
    </border>
    <border>
      <left style="thin">
        <color theme="5" tint="0.79998168889431442"/>
      </left>
      <right style="medium">
        <color rgb="FFEA8B00"/>
      </right>
      <top/>
      <bottom style="medium">
        <color rgb="FF00B050"/>
      </bottom>
      <diagonal/>
    </border>
    <border>
      <left style="thin">
        <color theme="5" tint="0.79998168889431442"/>
      </left>
      <right style="medium">
        <color rgb="FFEA8B00"/>
      </right>
      <top style="thin">
        <color rgb="FFEA8B00"/>
      </top>
      <bottom style="thin">
        <color theme="5" tint="0.79998168889431442"/>
      </bottom>
      <diagonal/>
    </border>
    <border>
      <left style="medium">
        <color rgb="FFEA8B00"/>
      </left>
      <right style="thin">
        <color theme="5" tint="0.79998168889431442"/>
      </right>
      <top style="thin">
        <color theme="5" tint="0.79998168889431442"/>
      </top>
      <bottom style="medium">
        <color rgb="FFEA8B00"/>
      </bottom>
      <diagonal/>
    </border>
    <border>
      <left style="thin">
        <color theme="5" tint="0.79998168889431442"/>
      </left>
      <right style="medium">
        <color rgb="FFEA8B00"/>
      </right>
      <top style="thin">
        <color theme="5" tint="0.79998168889431442"/>
      </top>
      <bottom style="medium">
        <color rgb="FFEA8B00"/>
      </bottom>
      <diagonal/>
    </border>
    <border>
      <left style="medium">
        <color rgb="FFEA8B00"/>
      </left>
      <right/>
      <top/>
      <bottom style="medium">
        <color rgb="FFEA8B00"/>
      </bottom>
      <diagonal/>
    </border>
    <border>
      <left/>
      <right/>
      <top/>
      <bottom style="medium">
        <color rgb="FFEA8B00"/>
      </bottom>
      <diagonal/>
    </border>
    <border>
      <left/>
      <right style="medium">
        <color rgb="FFEA8B00"/>
      </right>
      <top/>
      <bottom style="medium">
        <color rgb="FFEA8B00"/>
      </bottom>
      <diagonal/>
    </border>
    <border>
      <left style="medium">
        <color rgb="FFEA8B00"/>
      </left>
      <right style="thin">
        <color theme="5" tint="0.79998168889431442"/>
      </right>
      <top/>
      <bottom style="medium">
        <color rgb="FFEA8B00"/>
      </bottom>
      <diagonal/>
    </border>
    <border>
      <left style="thin">
        <color theme="5" tint="0.79998168889431442"/>
      </left>
      <right style="medium">
        <color rgb="FFEA8B00"/>
      </right>
      <top/>
      <bottom style="medium">
        <color rgb="FFEA8B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20" fillId="0" borderId="23" xfId="0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34" xfId="0" applyFont="1" applyBorder="1" applyAlignment="1" applyProtection="1">
      <alignment horizontal="center" vertical="center"/>
      <protection locked="0"/>
    </xf>
    <xf numFmtId="0" fontId="20" fillId="0" borderId="35" xfId="0" applyFont="1" applyBorder="1" applyAlignment="1" applyProtection="1">
      <alignment horizontal="center"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7" fillId="0" borderId="42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quotePrefix="1" applyFont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0" xfId="0" quotePrefix="1" applyFont="1" applyFill="1" applyAlignment="1" applyProtection="1">
      <alignment horizontal="center" vertical="center"/>
      <protection locked="0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3" borderId="0" xfId="0" applyFont="1" applyFill="1"/>
    <xf numFmtId="0" fontId="6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39" xfId="0" applyFont="1" applyBorder="1"/>
    <xf numFmtId="0" fontId="6" fillId="0" borderId="40" xfId="0" applyFont="1" applyBorder="1"/>
    <xf numFmtId="0" fontId="6" fillId="0" borderId="41" xfId="0" applyFont="1" applyBorder="1"/>
    <xf numFmtId="0" fontId="4" fillId="0" borderId="42" xfId="0" applyFont="1" applyBorder="1" applyAlignment="1">
      <alignment horizontal="right" wrapText="1"/>
    </xf>
    <xf numFmtId="0" fontId="23" fillId="0" borderId="0" xfId="0" applyFont="1" applyAlignment="1">
      <alignment horizontal="center" vertical="center"/>
    </xf>
    <xf numFmtId="0" fontId="6" fillId="0" borderId="43" xfId="0" applyFont="1" applyBorder="1"/>
    <xf numFmtId="0" fontId="24" fillId="0" borderId="42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6" fillId="0" borderId="43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6" fillId="0" borderId="4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49" fontId="4" fillId="0" borderId="42" xfId="0" quotePrefix="1" applyNumberFormat="1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49" fontId="4" fillId="0" borderId="43" xfId="0" quotePrefix="1" applyNumberFormat="1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6" fillId="0" borderId="56" xfId="0" applyFont="1" applyBorder="1" applyAlignment="1">
      <alignment vertical="center"/>
    </xf>
    <xf numFmtId="0" fontId="1" fillId="0" borderId="54" xfId="0" applyFont="1" applyBorder="1"/>
    <xf numFmtId="0" fontId="6" fillId="0" borderId="55" xfId="0" applyFont="1" applyBorder="1" applyAlignment="1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6" fontId="19" fillId="0" borderId="9" xfId="0" quotePrefix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13" xfId="0" quotePrefix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theme="0"/>
      </font>
      <fill>
        <patternFill>
          <bgColor theme="0"/>
        </patternFill>
      </fill>
      <border>
        <left/>
        <right/>
        <vertical/>
        <horizontal/>
      </border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color theme="0"/>
      </font>
    </dxf>
    <dxf>
      <font>
        <color rgb="FFEA8B00"/>
      </font>
    </dxf>
    <dxf>
      <font>
        <color rgb="FFEA8B00"/>
      </font>
    </dxf>
    <dxf>
      <font>
        <color rgb="FFEA8B00"/>
      </font>
    </dxf>
    <dxf>
      <font>
        <color rgb="FFFF0000"/>
      </font>
    </dxf>
    <dxf>
      <font>
        <b/>
        <i val="0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5" tint="0.79998168889431442"/>
        </patternFill>
      </fill>
    </dxf>
    <dxf>
      <font>
        <color rgb="FFEA8B00"/>
      </font>
    </dxf>
    <dxf>
      <font>
        <color rgb="FFEA8B00"/>
      </font>
    </dxf>
    <dxf>
      <font>
        <color rgb="FFEA8B00"/>
      </font>
    </dxf>
    <dxf>
      <font>
        <color rgb="FFFF0000"/>
      </font>
    </dxf>
    <dxf>
      <font>
        <b/>
        <i val="0"/>
      </font>
      <fill>
        <patternFill>
          <bgColor theme="0" tint="-4.9989318521683403E-2"/>
        </patternFill>
      </fill>
    </dxf>
    <dxf>
      <font>
        <color rgb="FFEA8B00"/>
      </font>
    </dxf>
    <dxf>
      <font>
        <color rgb="FFEA8B00"/>
      </font>
    </dxf>
    <dxf>
      <font>
        <color rgb="FFEA8B00"/>
      </font>
    </dxf>
    <dxf>
      <font>
        <color rgb="FFFF0000"/>
      </font>
    </dxf>
    <dxf>
      <font>
        <b/>
        <i val="0"/>
      </font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5" tint="0.7999816888943144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393720</xdr:colOff>
      <xdr:row>2</xdr:row>
      <xdr:rowOff>446312</xdr:rowOff>
    </xdr:from>
    <xdr:to>
      <xdr:col>16</xdr:col>
      <xdr:colOff>1112656</xdr:colOff>
      <xdr:row>3</xdr:row>
      <xdr:rowOff>1168380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8B95A9A-7C50-4959-BABA-F2CC2A93F665}"/>
            </a:ext>
          </a:extLst>
        </xdr:cNvPr>
        <xdr:cNvGrpSpPr/>
      </xdr:nvGrpSpPr>
      <xdr:grpSpPr>
        <a:xfrm>
          <a:off x="2667815" y="1767907"/>
          <a:ext cx="21459624" cy="1269756"/>
          <a:chOff x="1868249" y="1097483"/>
          <a:chExt cx="13660630" cy="82532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E2879E8-D01C-FD22-279C-FC42E094E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/>
          <a:stretch/>
        </xdr:blipFill>
        <xdr:spPr>
          <a:xfrm>
            <a:off x="1868249" y="1097483"/>
            <a:ext cx="1407618" cy="814683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828A5E8-C890-6BCC-983B-486D807601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/>
          <a:stretch/>
        </xdr:blipFill>
        <xdr:spPr>
          <a:xfrm>
            <a:off x="4006182" y="1114319"/>
            <a:ext cx="1382943" cy="798725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12E614EF-AFAC-F22C-AA6F-118A9F30CF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rcRect/>
          <a:stretch/>
        </xdr:blipFill>
        <xdr:spPr>
          <a:xfrm>
            <a:off x="6029040" y="1125683"/>
            <a:ext cx="1368557" cy="7904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5569857B-393D-8EBD-E778-FF488F2296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rcRect/>
          <a:stretch/>
        </xdr:blipFill>
        <xdr:spPr>
          <a:xfrm>
            <a:off x="8074348" y="1133967"/>
            <a:ext cx="1365823" cy="788837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E61625A-3FD0-76C5-E33D-47D8BEBA3A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rcRect/>
          <a:stretch/>
        </xdr:blipFill>
        <xdr:spPr>
          <a:xfrm>
            <a:off x="10105036" y="1125683"/>
            <a:ext cx="1371434" cy="792078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2AD7E87F-D30D-353F-A39B-FF7A31D065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rcRect/>
          <a:stretch/>
        </xdr:blipFill>
        <xdr:spPr>
          <a:xfrm>
            <a:off x="12112288" y="1106361"/>
            <a:ext cx="1387163" cy="801162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D82754D7-D420-F82C-D509-0247E7BC97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rcRect/>
          <a:stretch/>
        </xdr:blipFill>
        <xdr:spPr>
          <a:xfrm>
            <a:off x="14153030" y="1120821"/>
            <a:ext cx="1375849" cy="794628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47C8-FC9B-4DB7-9214-1A23B09407A2}">
  <sheetPr>
    <tabColor rgb="FF00B050"/>
    <pageSetUpPr fitToPage="1"/>
  </sheetPr>
  <dimension ref="B1:AH457"/>
  <sheetViews>
    <sheetView tabSelected="1" zoomScale="40" zoomScaleNormal="40" workbookViewId="0">
      <selection activeCell="D90" sqref="D90"/>
    </sheetView>
  </sheetViews>
  <sheetFormatPr defaultColWidth="9" defaultRowHeight="25.15" x14ac:dyDescent="0.7"/>
  <cols>
    <col min="1" max="1" width="9" style="26"/>
    <col min="2" max="2" width="9" style="22"/>
    <col min="3" max="3" width="11.6875" style="26" customWidth="1"/>
    <col min="4" max="17" width="21" style="26" customWidth="1"/>
    <col min="18" max="18" width="10.625" style="26" bestFit="1" customWidth="1"/>
    <col min="19" max="19" width="10.125" style="26" bestFit="1" customWidth="1"/>
    <col min="20" max="21" width="9" style="26"/>
    <col min="22" max="22" width="9" style="26" hidden="1" customWidth="1"/>
    <col min="23" max="23" width="10.125" style="26" hidden="1" customWidth="1"/>
    <col min="24" max="24" width="9" style="26" hidden="1" customWidth="1"/>
    <col min="25" max="25" width="23.6875" style="27" hidden="1" customWidth="1"/>
    <col min="26" max="26" width="24.1875" style="27" hidden="1" customWidth="1"/>
    <col min="27" max="27" width="22.1875" style="27" hidden="1" customWidth="1"/>
    <col min="28" max="28" width="10.1875" style="26" hidden="1" customWidth="1"/>
    <col min="29" max="29" width="9" style="28" hidden="1" customWidth="1"/>
    <col min="30" max="32" width="9" style="26" hidden="1" customWidth="1"/>
    <col min="33" max="33" width="23.3125" style="26" hidden="1" customWidth="1"/>
    <col min="34" max="34" width="23.5625" style="26" hidden="1" customWidth="1"/>
    <col min="35" max="35" width="9" style="26" customWidth="1"/>
    <col min="36" max="16384" width="9" style="26"/>
  </cols>
  <sheetData>
    <row r="1" spans="2:34" x14ac:dyDescent="0.7">
      <c r="C1" s="23" t="s">
        <v>0</v>
      </c>
      <c r="D1" s="74" t="s">
        <v>1</v>
      </c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24" t="s">
        <v>2</v>
      </c>
      <c r="S1" s="25" t="s">
        <v>3</v>
      </c>
    </row>
    <row r="2" spans="2:34" ht="78.75" customHeight="1" x14ac:dyDescent="0.7">
      <c r="D2" s="75" t="s">
        <v>4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6" t="s">
        <v>5</v>
      </c>
      <c r="S2" s="76"/>
    </row>
    <row r="3" spans="2:34" ht="42.75" x14ac:dyDescent="0.7">
      <c r="D3" s="29"/>
      <c r="E3" s="29"/>
      <c r="F3" s="29"/>
      <c r="G3" s="29"/>
      <c r="H3" s="29"/>
      <c r="I3" s="77" t="str">
        <f>S1&amp;" GF SYSTEM"</f>
        <v>ROUND 26 GF SYSTEM</v>
      </c>
      <c r="J3" s="77"/>
      <c r="K3" s="77"/>
      <c r="L3" s="77"/>
      <c r="M3" s="29"/>
      <c r="N3" s="29"/>
      <c r="O3" s="29"/>
      <c r="P3" s="29"/>
      <c r="Q3" s="29"/>
      <c r="R3" s="30"/>
      <c r="S3" s="30"/>
    </row>
    <row r="4" spans="2:34" s="33" customFormat="1" ht="93.75" customHeight="1" thickBot="1" x14ac:dyDescent="0.55000000000000004">
      <c r="B4" s="31" t="s">
        <v>6</v>
      </c>
      <c r="C4" s="31" t="s">
        <v>7</v>
      </c>
      <c r="D4" s="78" t="s">
        <v>8</v>
      </c>
      <c r="E4" s="79"/>
      <c r="F4" s="79" t="s">
        <v>9</v>
      </c>
      <c r="G4" s="79"/>
      <c r="H4" s="80" t="s">
        <v>10</v>
      </c>
      <c r="I4" s="80"/>
      <c r="J4" s="79" t="s">
        <v>11</v>
      </c>
      <c r="K4" s="79"/>
      <c r="L4" s="79" t="s">
        <v>12</v>
      </c>
      <c r="M4" s="79"/>
      <c r="N4" s="79" t="s">
        <v>13</v>
      </c>
      <c r="O4" s="79"/>
      <c r="P4" s="79" t="s">
        <v>14</v>
      </c>
      <c r="Q4" s="81"/>
      <c r="R4" s="32" t="s">
        <v>7</v>
      </c>
      <c r="S4" s="32" t="s">
        <v>15</v>
      </c>
      <c r="Y4" s="27"/>
      <c r="Z4" s="27"/>
      <c r="AA4" s="27"/>
      <c r="AB4" s="27" t="s">
        <v>16</v>
      </c>
      <c r="AC4" s="27" t="s">
        <v>17</v>
      </c>
    </row>
    <row r="5" spans="2:34" ht="18" customHeight="1" x14ac:dyDescent="0.45">
      <c r="B5" s="82">
        <v>1</v>
      </c>
      <c r="C5" s="85" t="str">
        <f>1&amp;"-"&amp;10</f>
        <v>1-10</v>
      </c>
      <c r="D5" s="1" t="s">
        <v>411</v>
      </c>
      <c r="E5" s="2"/>
      <c r="F5" s="1"/>
      <c r="G5" s="3"/>
      <c r="H5" s="1"/>
      <c r="I5" s="3"/>
      <c r="J5" s="1" t="s">
        <v>388</v>
      </c>
      <c r="K5" s="3"/>
      <c r="L5" s="1"/>
      <c r="M5" s="3"/>
      <c r="N5" s="1"/>
      <c r="O5" s="3"/>
      <c r="P5" s="2"/>
      <c r="Q5" s="3"/>
      <c r="R5" s="88" t="s">
        <v>18</v>
      </c>
      <c r="S5" s="90">
        <v>1</v>
      </c>
      <c r="V5" s="34" t="s">
        <v>521</v>
      </c>
      <c r="W5" s="26" t="s">
        <v>19</v>
      </c>
      <c r="Y5" s="35" t="s">
        <v>20</v>
      </c>
      <c r="Z5" s="27" t="s">
        <v>309</v>
      </c>
      <c r="AA5" s="27" t="s">
        <v>495</v>
      </c>
      <c r="AB5" s="27" t="s">
        <v>9</v>
      </c>
      <c r="AC5" s="28" t="s">
        <v>309</v>
      </c>
      <c r="AG5" s="26" t="s">
        <v>21</v>
      </c>
      <c r="AH5" s="26" t="s">
        <v>22</v>
      </c>
    </row>
    <row r="6" spans="2:34" ht="18" customHeight="1" x14ac:dyDescent="0.45">
      <c r="B6" s="83"/>
      <c r="C6" s="86"/>
      <c r="D6" s="4" t="s">
        <v>304</v>
      </c>
      <c r="E6" s="5"/>
      <c r="F6" s="4"/>
      <c r="G6" s="6" t="s">
        <v>241</v>
      </c>
      <c r="H6" s="4"/>
      <c r="I6" s="6"/>
      <c r="J6" s="4" t="s">
        <v>442</v>
      </c>
      <c r="K6" s="6"/>
      <c r="L6" s="4"/>
      <c r="M6" s="6"/>
      <c r="N6" s="4"/>
      <c r="O6" s="6" t="s">
        <v>36</v>
      </c>
      <c r="P6" s="5"/>
      <c r="Q6" s="6"/>
      <c r="R6" s="89"/>
      <c r="S6" s="91"/>
      <c r="V6" s="34" t="s">
        <v>522</v>
      </c>
      <c r="W6" s="26" t="s">
        <v>23</v>
      </c>
      <c r="Y6" s="35" t="s">
        <v>24</v>
      </c>
      <c r="Z6" s="27" t="s">
        <v>309</v>
      </c>
      <c r="AA6" s="27" t="s">
        <v>495</v>
      </c>
      <c r="AB6" s="27" t="s">
        <v>9</v>
      </c>
      <c r="AC6" s="28" t="s">
        <v>309</v>
      </c>
      <c r="AG6" s="26" t="s">
        <v>25</v>
      </c>
      <c r="AH6" s="26" t="s">
        <v>22</v>
      </c>
    </row>
    <row r="7" spans="2:34" ht="18" customHeight="1" x14ac:dyDescent="0.45">
      <c r="B7" s="83"/>
      <c r="C7" s="86"/>
      <c r="D7" s="4" t="s">
        <v>74</v>
      </c>
      <c r="E7" s="5" t="s">
        <v>431</v>
      </c>
      <c r="F7" s="4"/>
      <c r="G7" s="6"/>
      <c r="H7" s="4"/>
      <c r="I7" s="6"/>
      <c r="J7" s="4"/>
      <c r="K7" s="6" t="s">
        <v>412</v>
      </c>
      <c r="L7" s="4"/>
      <c r="M7" s="6"/>
      <c r="N7" s="4"/>
      <c r="O7" s="6"/>
      <c r="P7" s="5"/>
      <c r="Q7" s="6"/>
      <c r="R7" s="89"/>
      <c r="S7" s="91"/>
      <c r="V7" s="34" t="s">
        <v>523</v>
      </c>
      <c r="W7" s="26" t="s">
        <v>26</v>
      </c>
      <c r="Y7" s="35" t="s">
        <v>27</v>
      </c>
      <c r="Z7" s="27" t="s">
        <v>3</v>
      </c>
      <c r="AA7" s="27" t="s">
        <v>496</v>
      </c>
      <c r="AB7" s="27" t="s">
        <v>11</v>
      </c>
      <c r="AC7" s="28" t="s">
        <v>309</v>
      </c>
      <c r="AG7" s="26" t="s">
        <v>28</v>
      </c>
      <c r="AH7" s="26" t="s">
        <v>22</v>
      </c>
    </row>
    <row r="8" spans="2:34" ht="18" customHeight="1" x14ac:dyDescent="0.45">
      <c r="B8" s="83"/>
      <c r="C8" s="86"/>
      <c r="D8" s="4"/>
      <c r="E8" s="5"/>
      <c r="F8" s="4"/>
      <c r="G8" s="6"/>
      <c r="H8" s="4"/>
      <c r="I8" s="6"/>
      <c r="J8" s="4"/>
      <c r="K8" s="6"/>
      <c r="L8" s="4"/>
      <c r="M8" s="6"/>
      <c r="N8" s="4"/>
      <c r="O8" s="6"/>
      <c r="P8" s="5"/>
      <c r="Q8" s="6"/>
      <c r="R8" s="89"/>
      <c r="S8" s="91"/>
      <c r="V8" s="34" t="s">
        <v>524</v>
      </c>
      <c r="W8" s="26" t="s">
        <v>29</v>
      </c>
      <c r="Y8" s="35" t="s">
        <v>30</v>
      </c>
      <c r="Z8" s="27" t="s">
        <v>309</v>
      </c>
      <c r="AA8" s="27" t="s">
        <v>495</v>
      </c>
      <c r="AB8" s="27" t="s">
        <v>497</v>
      </c>
      <c r="AC8" s="28" t="s">
        <v>498</v>
      </c>
      <c r="AG8" s="26" t="s">
        <v>31</v>
      </c>
      <c r="AH8" s="26" t="s">
        <v>22</v>
      </c>
    </row>
    <row r="9" spans="2:34" ht="18" customHeight="1" x14ac:dyDescent="0.45">
      <c r="B9" s="84"/>
      <c r="C9" s="87"/>
      <c r="D9" s="7" t="s">
        <v>157</v>
      </c>
      <c r="E9" s="8"/>
      <c r="F9" s="7"/>
      <c r="G9" s="9" t="s">
        <v>105</v>
      </c>
      <c r="H9" s="7"/>
      <c r="I9" s="9"/>
      <c r="J9" s="7"/>
      <c r="K9" s="9"/>
      <c r="L9" s="7"/>
      <c r="M9" s="9"/>
      <c r="N9" s="7"/>
      <c r="O9" s="9"/>
      <c r="P9" s="8"/>
      <c r="Q9" s="9"/>
      <c r="R9" s="89"/>
      <c r="S9" s="91"/>
      <c r="V9" s="34" t="s">
        <v>525</v>
      </c>
      <c r="W9" s="26" t="s">
        <v>3</v>
      </c>
      <c r="Y9" s="35" t="s">
        <v>32</v>
      </c>
      <c r="Z9" s="27" t="s">
        <v>309</v>
      </c>
      <c r="AA9" s="27" t="s">
        <v>495</v>
      </c>
      <c r="AB9" s="27" t="s">
        <v>11</v>
      </c>
      <c r="AC9" s="28" t="s">
        <v>309</v>
      </c>
      <c r="AG9" s="26" t="s">
        <v>33</v>
      </c>
      <c r="AH9" s="26" t="s">
        <v>22</v>
      </c>
    </row>
    <row r="10" spans="2:34" ht="18" customHeight="1" thickBot="1" x14ac:dyDescent="0.5">
      <c r="B10" s="92">
        <v>2</v>
      </c>
      <c r="C10" s="93" t="str">
        <f>10*B10-9&amp;"-"&amp;B10*10</f>
        <v>11-20</v>
      </c>
      <c r="D10" s="10"/>
      <c r="E10" s="11" t="s">
        <v>382</v>
      </c>
      <c r="F10" s="10"/>
      <c r="G10" s="11" t="s">
        <v>184</v>
      </c>
      <c r="H10" s="10"/>
      <c r="I10" s="11"/>
      <c r="J10" s="10"/>
      <c r="K10" s="11"/>
      <c r="L10" s="10" t="s">
        <v>462</v>
      </c>
      <c r="M10" s="11"/>
      <c r="N10" s="10" t="s">
        <v>254</v>
      </c>
      <c r="O10" s="11"/>
      <c r="P10" s="12"/>
      <c r="Q10" s="11"/>
      <c r="R10" s="89"/>
      <c r="S10" s="91"/>
      <c r="V10" s="34" t="s">
        <v>526</v>
      </c>
      <c r="W10" s="26" t="s">
        <v>22</v>
      </c>
      <c r="Y10" s="35" t="s">
        <v>34</v>
      </c>
      <c r="Z10" s="27" t="s">
        <v>309</v>
      </c>
      <c r="AA10" s="27" t="s">
        <v>495</v>
      </c>
      <c r="AB10" s="27" t="s">
        <v>12</v>
      </c>
      <c r="AC10" s="28" t="s">
        <v>309</v>
      </c>
      <c r="AG10" s="26" t="s">
        <v>35</v>
      </c>
      <c r="AH10" s="26" t="s">
        <v>22</v>
      </c>
    </row>
    <row r="11" spans="2:34" ht="18" customHeight="1" x14ac:dyDescent="0.45">
      <c r="B11" s="83"/>
      <c r="C11" s="94"/>
      <c r="D11" s="4"/>
      <c r="E11" s="5"/>
      <c r="F11" s="4"/>
      <c r="G11" s="6" t="s">
        <v>303</v>
      </c>
      <c r="H11" s="4"/>
      <c r="I11" s="6"/>
      <c r="J11" s="4"/>
      <c r="K11" s="6"/>
      <c r="L11" s="4"/>
      <c r="M11" s="6" t="s">
        <v>37</v>
      </c>
      <c r="N11" s="4"/>
      <c r="O11" s="6"/>
      <c r="P11" s="5"/>
      <c r="Q11" s="6"/>
      <c r="R11" s="96" t="str">
        <f>12*S11-11&amp;"-"&amp;12*S11</f>
        <v>13-24</v>
      </c>
      <c r="S11" s="98">
        <v>2</v>
      </c>
      <c r="Y11" s="35" t="s">
        <v>36</v>
      </c>
      <c r="Z11" s="27" t="s">
        <v>309</v>
      </c>
      <c r="AA11" s="27" t="s">
        <v>495</v>
      </c>
      <c r="AB11" s="27" t="s">
        <v>13</v>
      </c>
      <c r="AC11" s="28" t="s">
        <v>309</v>
      </c>
      <c r="AG11" s="26" t="s">
        <v>37</v>
      </c>
      <c r="AH11" s="26" t="s">
        <v>22</v>
      </c>
    </row>
    <row r="12" spans="2:34" ht="18" customHeight="1" x14ac:dyDescent="0.45">
      <c r="B12" s="83"/>
      <c r="C12" s="94"/>
      <c r="D12" s="4"/>
      <c r="E12" s="5"/>
      <c r="F12" s="4"/>
      <c r="G12" s="6"/>
      <c r="H12" s="4"/>
      <c r="I12" s="6"/>
      <c r="J12" s="4" t="s">
        <v>432</v>
      </c>
      <c r="K12" s="6"/>
      <c r="L12" s="4"/>
      <c r="M12" s="6"/>
      <c r="N12" s="4"/>
      <c r="O12" s="6"/>
      <c r="P12" s="5"/>
      <c r="Q12" s="6"/>
      <c r="R12" s="89"/>
      <c r="S12" s="91"/>
      <c r="Y12" s="35" t="s">
        <v>38</v>
      </c>
      <c r="Z12" s="27" t="s">
        <v>309</v>
      </c>
      <c r="AA12" s="27" t="s">
        <v>495</v>
      </c>
      <c r="AB12" s="27" t="s">
        <v>14</v>
      </c>
      <c r="AC12" s="28" t="s">
        <v>309</v>
      </c>
      <c r="AG12" s="26" t="s">
        <v>39</v>
      </c>
      <c r="AH12" s="26" t="s">
        <v>22</v>
      </c>
    </row>
    <row r="13" spans="2:34" ht="18" customHeight="1" x14ac:dyDescent="0.45">
      <c r="B13" s="83"/>
      <c r="C13" s="94"/>
      <c r="D13" s="4" t="s">
        <v>53</v>
      </c>
      <c r="E13" s="5"/>
      <c r="F13" s="4" t="s">
        <v>423</v>
      </c>
      <c r="G13" s="6"/>
      <c r="H13" s="4"/>
      <c r="I13" s="6"/>
      <c r="J13" s="4"/>
      <c r="K13" s="6"/>
      <c r="L13" s="4"/>
      <c r="M13" s="6"/>
      <c r="N13" s="4"/>
      <c r="O13" s="6"/>
      <c r="P13" s="5"/>
      <c r="Q13" s="6"/>
      <c r="R13" s="89"/>
      <c r="S13" s="91"/>
      <c r="Y13" s="35" t="s">
        <v>40</v>
      </c>
      <c r="Z13" s="27" t="s">
        <v>309</v>
      </c>
      <c r="AA13" s="27" t="s">
        <v>495</v>
      </c>
      <c r="AB13" s="27" t="s">
        <v>12</v>
      </c>
      <c r="AC13" s="28" t="s">
        <v>309</v>
      </c>
      <c r="AG13" s="26" t="s">
        <v>41</v>
      </c>
      <c r="AH13" s="26" t="s">
        <v>22</v>
      </c>
    </row>
    <row r="14" spans="2:34" ht="18" customHeight="1" x14ac:dyDescent="0.45">
      <c r="B14" s="84"/>
      <c r="C14" s="95"/>
      <c r="D14" s="7"/>
      <c r="E14" s="8"/>
      <c r="F14" s="7"/>
      <c r="G14" s="9"/>
      <c r="H14" s="7"/>
      <c r="I14" s="9"/>
      <c r="J14" s="7"/>
      <c r="K14" s="9"/>
      <c r="L14" s="7" t="s">
        <v>325</v>
      </c>
      <c r="M14" s="9" t="s">
        <v>113</v>
      </c>
      <c r="N14" s="7"/>
      <c r="O14" s="9"/>
      <c r="P14" s="8"/>
      <c r="Q14" s="9" t="s">
        <v>191</v>
      </c>
      <c r="R14" s="89"/>
      <c r="S14" s="91"/>
      <c r="Y14" s="35" t="s">
        <v>42</v>
      </c>
      <c r="Z14" s="27" t="s">
        <v>309</v>
      </c>
      <c r="AA14" s="27" t="s">
        <v>495</v>
      </c>
      <c r="AB14" s="27" t="s">
        <v>13</v>
      </c>
      <c r="AC14" s="28" t="s">
        <v>309</v>
      </c>
      <c r="AG14" s="26" t="s">
        <v>43</v>
      </c>
      <c r="AH14" s="26" t="s">
        <v>22</v>
      </c>
    </row>
    <row r="15" spans="2:34" ht="18" customHeight="1" x14ac:dyDescent="0.45">
      <c r="B15" s="92">
        <v>3</v>
      </c>
      <c r="C15" s="93" t="str">
        <f t="shared" ref="C15" si="0">10*B15-9&amp;"-"&amp;B15*10</f>
        <v>21-30</v>
      </c>
      <c r="D15" s="4"/>
      <c r="E15" s="6"/>
      <c r="F15" s="4"/>
      <c r="G15" s="6" t="s">
        <v>430</v>
      </c>
      <c r="H15" s="4"/>
      <c r="I15" s="6"/>
      <c r="J15" s="4"/>
      <c r="K15" s="6"/>
      <c r="L15" s="4"/>
      <c r="M15" s="6"/>
      <c r="N15" s="4"/>
      <c r="O15" s="6"/>
      <c r="P15" s="5"/>
      <c r="Q15" s="6"/>
      <c r="R15" s="89"/>
      <c r="S15" s="91"/>
      <c r="Y15" s="35" t="s">
        <v>44</v>
      </c>
      <c r="Z15" s="27" t="s">
        <v>309</v>
      </c>
      <c r="AA15" s="27" t="s">
        <v>495</v>
      </c>
      <c r="AB15" s="27" t="s">
        <v>9</v>
      </c>
      <c r="AC15" s="28" t="s">
        <v>309</v>
      </c>
      <c r="AG15" s="26" t="s">
        <v>45</v>
      </c>
      <c r="AH15" s="26" t="s">
        <v>22</v>
      </c>
    </row>
    <row r="16" spans="2:34" ht="18" customHeight="1" thickBot="1" x14ac:dyDescent="0.5">
      <c r="B16" s="83"/>
      <c r="C16" s="94"/>
      <c r="D16" s="10" t="s">
        <v>283</v>
      </c>
      <c r="E16" s="11"/>
      <c r="F16" s="10" t="s">
        <v>369</v>
      </c>
      <c r="G16" s="11"/>
      <c r="H16" s="10"/>
      <c r="I16" s="11"/>
      <c r="J16" s="10"/>
      <c r="K16" s="11"/>
      <c r="L16" s="10"/>
      <c r="M16" s="11"/>
      <c r="N16" s="10"/>
      <c r="O16" s="11"/>
      <c r="P16" s="12"/>
      <c r="Q16" s="11"/>
      <c r="R16" s="97"/>
      <c r="S16" s="99"/>
      <c r="Y16" s="35" t="s">
        <v>46</v>
      </c>
      <c r="Z16" s="27" t="s">
        <v>309</v>
      </c>
      <c r="AA16" s="27" t="s">
        <v>495</v>
      </c>
      <c r="AB16" s="27" t="s">
        <v>10</v>
      </c>
      <c r="AC16" s="28" t="s">
        <v>309</v>
      </c>
      <c r="AG16" s="26" t="s">
        <v>47</v>
      </c>
      <c r="AH16" s="26" t="s">
        <v>22</v>
      </c>
    </row>
    <row r="17" spans="2:34" ht="18" customHeight="1" x14ac:dyDescent="0.45">
      <c r="B17" s="83"/>
      <c r="C17" s="94"/>
      <c r="D17" s="4"/>
      <c r="E17" s="5"/>
      <c r="F17" s="4" t="s">
        <v>290</v>
      </c>
      <c r="G17" s="6"/>
      <c r="H17" s="4" t="s">
        <v>185</v>
      </c>
      <c r="I17" s="6"/>
      <c r="J17" s="4"/>
      <c r="K17" s="6"/>
      <c r="L17" s="4"/>
      <c r="M17" s="6"/>
      <c r="N17" s="4"/>
      <c r="O17" s="6" t="s">
        <v>168</v>
      </c>
      <c r="P17" s="5" t="s">
        <v>353</v>
      </c>
      <c r="Q17" s="6"/>
      <c r="R17" s="96" t="str">
        <f>12*S17-11&amp;"-"&amp;12*S17</f>
        <v>25-36</v>
      </c>
      <c r="S17" s="98">
        <v>3</v>
      </c>
      <c r="Y17" s="35" t="s">
        <v>48</v>
      </c>
      <c r="Z17" s="27" t="s">
        <v>309</v>
      </c>
      <c r="AA17" s="27" t="s">
        <v>495</v>
      </c>
      <c r="AB17" s="27" t="s">
        <v>9</v>
      </c>
      <c r="AC17" s="28" t="s">
        <v>309</v>
      </c>
      <c r="AG17" s="26" t="s">
        <v>49</v>
      </c>
      <c r="AH17" s="26" t="s">
        <v>22</v>
      </c>
    </row>
    <row r="18" spans="2:34" ht="18" customHeight="1" x14ac:dyDescent="0.45">
      <c r="B18" s="83"/>
      <c r="C18" s="94"/>
      <c r="D18" s="4"/>
      <c r="E18" s="5"/>
      <c r="F18" s="4"/>
      <c r="G18" s="6"/>
      <c r="H18" s="4"/>
      <c r="I18" s="6"/>
      <c r="J18" s="4"/>
      <c r="K18" s="6" t="s">
        <v>199</v>
      </c>
      <c r="L18" s="4" t="s">
        <v>86</v>
      </c>
      <c r="M18" s="6"/>
      <c r="N18" s="4" t="s">
        <v>92</v>
      </c>
      <c r="O18" s="6"/>
      <c r="P18" s="5"/>
      <c r="Q18" s="6"/>
      <c r="R18" s="89"/>
      <c r="S18" s="91"/>
      <c r="Y18" s="35" t="s">
        <v>50</v>
      </c>
      <c r="Z18" s="27" t="s">
        <v>309</v>
      </c>
      <c r="AA18" s="27" t="s">
        <v>495</v>
      </c>
      <c r="AB18" s="27" t="s">
        <v>14</v>
      </c>
      <c r="AC18" s="28" t="s">
        <v>309</v>
      </c>
      <c r="AG18" s="26" t="s">
        <v>51</v>
      </c>
      <c r="AH18" s="26" t="s">
        <v>22</v>
      </c>
    </row>
    <row r="19" spans="2:34" ht="18" customHeight="1" x14ac:dyDescent="0.45">
      <c r="B19" s="84"/>
      <c r="C19" s="95"/>
      <c r="D19" s="7" t="s">
        <v>337</v>
      </c>
      <c r="E19" s="8"/>
      <c r="F19" s="7" t="s">
        <v>25</v>
      </c>
      <c r="G19" s="9" t="s">
        <v>252</v>
      </c>
      <c r="H19" s="7" t="s">
        <v>41</v>
      </c>
      <c r="I19" s="9"/>
      <c r="J19" s="7"/>
      <c r="K19" s="9"/>
      <c r="L19" s="7" t="s">
        <v>335</v>
      </c>
      <c r="M19" s="9"/>
      <c r="N19" s="7"/>
      <c r="O19" s="9" t="s">
        <v>314</v>
      </c>
      <c r="P19" s="8"/>
      <c r="Q19" s="9"/>
      <c r="R19" s="89"/>
      <c r="S19" s="91"/>
      <c r="Y19" s="35" t="s">
        <v>52</v>
      </c>
      <c r="Z19" s="27" t="s">
        <v>309</v>
      </c>
      <c r="AA19" s="27" t="s">
        <v>495</v>
      </c>
      <c r="AB19" s="27" t="s">
        <v>14</v>
      </c>
      <c r="AC19" s="28" t="s">
        <v>309</v>
      </c>
      <c r="AG19" s="26" t="s">
        <v>53</v>
      </c>
      <c r="AH19" s="26" t="s">
        <v>22</v>
      </c>
    </row>
    <row r="20" spans="2:34" ht="18" customHeight="1" x14ac:dyDescent="0.45">
      <c r="B20" s="92">
        <v>4</v>
      </c>
      <c r="C20" s="93" t="str">
        <f t="shared" ref="C20" si="1">10*B20-9&amp;"-"&amp;B20*10</f>
        <v>31-40</v>
      </c>
      <c r="D20" s="4"/>
      <c r="E20" s="5"/>
      <c r="F20" s="4"/>
      <c r="G20" s="6"/>
      <c r="H20" s="4"/>
      <c r="I20" s="6"/>
      <c r="J20" s="4"/>
      <c r="K20" s="6"/>
      <c r="L20" s="4"/>
      <c r="M20" s="6" t="s">
        <v>144</v>
      </c>
      <c r="N20" s="4" t="s">
        <v>291</v>
      </c>
      <c r="O20" s="6" t="s">
        <v>30</v>
      </c>
      <c r="P20" s="5"/>
      <c r="Q20" s="6"/>
      <c r="R20" s="89"/>
      <c r="S20" s="91"/>
      <c r="Y20" s="35" t="s">
        <v>54</v>
      </c>
      <c r="Z20" s="27" t="s">
        <v>309</v>
      </c>
      <c r="AA20" s="27" t="s">
        <v>495</v>
      </c>
      <c r="AB20" s="27" t="s">
        <v>499</v>
      </c>
      <c r="AC20" s="28" t="s">
        <v>498</v>
      </c>
      <c r="AG20" s="26" t="s">
        <v>55</v>
      </c>
      <c r="AH20" s="26" t="s">
        <v>22</v>
      </c>
    </row>
    <row r="21" spans="2:34" ht="18" customHeight="1" x14ac:dyDescent="0.45">
      <c r="B21" s="83"/>
      <c r="C21" s="94"/>
      <c r="D21" s="4"/>
      <c r="E21" s="6" t="s">
        <v>301</v>
      </c>
      <c r="F21" s="4" t="s">
        <v>363</v>
      </c>
      <c r="G21" s="6"/>
      <c r="H21" s="4"/>
      <c r="I21" s="6"/>
      <c r="J21" s="4"/>
      <c r="K21" s="6"/>
      <c r="L21" s="4" t="s">
        <v>291</v>
      </c>
      <c r="M21" s="6" t="s">
        <v>30</v>
      </c>
      <c r="N21" s="4"/>
      <c r="O21" s="6"/>
      <c r="P21" s="5"/>
      <c r="Q21" s="6"/>
      <c r="R21" s="89"/>
      <c r="S21" s="91"/>
      <c r="Y21" s="35" t="s">
        <v>56</v>
      </c>
      <c r="Z21" s="27" t="s">
        <v>309</v>
      </c>
      <c r="AA21" s="27" t="s">
        <v>495</v>
      </c>
      <c r="AB21" s="27" t="s">
        <v>12</v>
      </c>
      <c r="AC21" s="28" t="s">
        <v>309</v>
      </c>
      <c r="AG21" s="26" t="s">
        <v>57</v>
      </c>
      <c r="AH21" s="26" t="s">
        <v>22</v>
      </c>
    </row>
    <row r="22" spans="2:34" ht="18" customHeight="1" thickBot="1" x14ac:dyDescent="0.5">
      <c r="B22" s="83"/>
      <c r="C22" s="94"/>
      <c r="D22" s="10"/>
      <c r="E22" s="11"/>
      <c r="F22" s="10" t="s">
        <v>379</v>
      </c>
      <c r="G22" s="11" t="s">
        <v>66</v>
      </c>
      <c r="H22" s="10" t="s">
        <v>317</v>
      </c>
      <c r="I22" s="11" t="s">
        <v>376</v>
      </c>
      <c r="J22" s="10"/>
      <c r="K22" s="11"/>
      <c r="L22" s="10" t="s">
        <v>395</v>
      </c>
      <c r="M22" s="11"/>
      <c r="N22" s="10" t="s">
        <v>405</v>
      </c>
      <c r="O22" s="11" t="s">
        <v>433</v>
      </c>
      <c r="P22" s="12"/>
      <c r="Q22" s="11"/>
      <c r="R22" s="97"/>
      <c r="S22" s="99"/>
      <c r="Y22" s="35" t="s">
        <v>58</v>
      </c>
      <c r="Z22" s="27" t="s">
        <v>309</v>
      </c>
      <c r="AA22" s="27" t="s">
        <v>495</v>
      </c>
      <c r="AB22" s="27" t="s">
        <v>11</v>
      </c>
      <c r="AC22" s="28" t="s">
        <v>309</v>
      </c>
      <c r="AG22" s="26" t="s">
        <v>59</v>
      </c>
      <c r="AH22" s="26" t="s">
        <v>22</v>
      </c>
    </row>
    <row r="23" spans="2:34" ht="18" customHeight="1" x14ac:dyDescent="0.45">
      <c r="B23" s="83"/>
      <c r="C23" s="94"/>
      <c r="D23" s="4"/>
      <c r="E23" s="5" t="s">
        <v>152</v>
      </c>
      <c r="F23" s="4" t="s">
        <v>159</v>
      </c>
      <c r="G23" s="6" t="s">
        <v>64</v>
      </c>
      <c r="H23" s="4"/>
      <c r="I23" s="6"/>
      <c r="J23" s="4" t="s">
        <v>35</v>
      </c>
      <c r="K23" s="6"/>
      <c r="L23" s="4"/>
      <c r="M23" s="6" t="s">
        <v>101</v>
      </c>
      <c r="N23" s="4"/>
      <c r="O23" s="6"/>
      <c r="P23" s="5"/>
      <c r="Q23" s="6"/>
      <c r="R23" s="96" t="str">
        <f>12*S23-11&amp;"-"&amp;12*S23</f>
        <v>37-48</v>
      </c>
      <c r="S23" s="98">
        <v>4</v>
      </c>
      <c r="Y23" s="35" t="s">
        <v>60</v>
      </c>
      <c r="Z23" s="27" t="s">
        <v>309</v>
      </c>
      <c r="AA23" s="27" t="s">
        <v>495</v>
      </c>
      <c r="AB23" s="27" t="s">
        <v>12</v>
      </c>
      <c r="AC23" s="28" t="s">
        <v>309</v>
      </c>
      <c r="AG23" s="26" t="s">
        <v>61</v>
      </c>
      <c r="AH23" s="26" t="s">
        <v>22</v>
      </c>
    </row>
    <row r="24" spans="2:34" ht="18" customHeight="1" x14ac:dyDescent="0.45">
      <c r="B24" s="84"/>
      <c r="C24" s="95"/>
      <c r="D24" s="7"/>
      <c r="E24" s="8"/>
      <c r="F24" s="7"/>
      <c r="G24" s="9"/>
      <c r="H24" s="7"/>
      <c r="I24" s="9"/>
      <c r="J24" s="7"/>
      <c r="K24" s="9" t="s">
        <v>160</v>
      </c>
      <c r="L24" s="7" t="s">
        <v>384</v>
      </c>
      <c r="M24" s="9" t="s">
        <v>274</v>
      </c>
      <c r="N24" s="7"/>
      <c r="O24" s="9"/>
      <c r="P24" s="8"/>
      <c r="Q24" s="9"/>
      <c r="R24" s="89"/>
      <c r="S24" s="91"/>
      <c r="Y24" s="35" t="s">
        <v>62</v>
      </c>
      <c r="Z24" s="27" t="s">
        <v>309</v>
      </c>
      <c r="AA24" s="27" t="s">
        <v>495</v>
      </c>
      <c r="AB24" s="27" t="s">
        <v>10</v>
      </c>
      <c r="AC24" s="28" t="s">
        <v>309</v>
      </c>
      <c r="AG24" s="26" t="s">
        <v>63</v>
      </c>
      <c r="AH24" s="26" t="s">
        <v>22</v>
      </c>
    </row>
    <row r="25" spans="2:34" ht="18" customHeight="1" x14ac:dyDescent="0.45">
      <c r="B25" s="92">
        <v>5</v>
      </c>
      <c r="C25" s="93" t="str">
        <f t="shared" ref="C25" si="2">10*B25-9&amp;"-"&amp;B25*10</f>
        <v>41-50</v>
      </c>
      <c r="D25" s="4"/>
      <c r="E25" s="5"/>
      <c r="F25" s="4" t="s">
        <v>459</v>
      </c>
      <c r="G25" s="6"/>
      <c r="H25" s="4"/>
      <c r="I25" s="6"/>
      <c r="J25" s="4" t="s">
        <v>346</v>
      </c>
      <c r="K25" s="6" t="s">
        <v>255</v>
      </c>
      <c r="L25" s="4"/>
      <c r="M25" s="6" t="s">
        <v>234</v>
      </c>
      <c r="N25" s="4"/>
      <c r="O25" s="6" t="s">
        <v>78</v>
      </c>
      <c r="P25" s="5"/>
      <c r="Q25" s="6"/>
      <c r="R25" s="89"/>
      <c r="S25" s="91"/>
      <c r="Y25" s="35" t="s">
        <v>64</v>
      </c>
      <c r="Z25" s="27" t="s">
        <v>309</v>
      </c>
      <c r="AA25" s="27" t="s">
        <v>495</v>
      </c>
      <c r="AB25" s="27" t="s">
        <v>9</v>
      </c>
      <c r="AC25" s="28" t="s">
        <v>309</v>
      </c>
      <c r="AG25" s="26" t="s">
        <v>65</v>
      </c>
      <c r="AH25" s="26" t="s">
        <v>22</v>
      </c>
    </row>
    <row r="26" spans="2:34" ht="18" customHeight="1" x14ac:dyDescent="0.45">
      <c r="B26" s="83"/>
      <c r="C26" s="94"/>
      <c r="D26" s="4"/>
      <c r="E26" s="5"/>
      <c r="F26" s="4" t="s">
        <v>302</v>
      </c>
      <c r="G26" s="6"/>
      <c r="H26" s="4"/>
      <c r="I26" s="6"/>
      <c r="J26" s="4"/>
      <c r="K26" s="6"/>
      <c r="L26" s="4" t="s">
        <v>365</v>
      </c>
      <c r="M26" s="6"/>
      <c r="N26" s="4" t="s">
        <v>366</v>
      </c>
      <c r="O26" s="6" t="s">
        <v>336</v>
      </c>
      <c r="P26" s="5"/>
      <c r="Q26" s="6"/>
      <c r="R26" s="89"/>
      <c r="S26" s="91"/>
      <c r="Y26" s="35" t="s">
        <v>66</v>
      </c>
      <c r="Z26" s="27" t="s">
        <v>309</v>
      </c>
      <c r="AA26" s="27" t="s">
        <v>495</v>
      </c>
      <c r="AB26" s="27" t="s">
        <v>9</v>
      </c>
      <c r="AC26" s="28" t="s">
        <v>309</v>
      </c>
      <c r="AG26" s="26" t="s">
        <v>67</v>
      </c>
      <c r="AH26" s="26" t="s">
        <v>22</v>
      </c>
    </row>
    <row r="27" spans="2:34" ht="18" customHeight="1" x14ac:dyDescent="0.45">
      <c r="B27" s="83"/>
      <c r="C27" s="94"/>
      <c r="D27" s="4"/>
      <c r="E27" s="5"/>
      <c r="F27" s="4"/>
      <c r="G27" s="6"/>
      <c r="H27" s="4"/>
      <c r="I27" s="6"/>
      <c r="J27" s="4"/>
      <c r="K27" s="6"/>
      <c r="L27" s="4"/>
      <c r="M27" s="6"/>
      <c r="N27" s="4"/>
      <c r="O27" s="6" t="s">
        <v>398</v>
      </c>
      <c r="P27" s="5"/>
      <c r="Q27" s="6"/>
      <c r="R27" s="89"/>
      <c r="S27" s="91"/>
      <c r="Y27" s="35" t="s">
        <v>68</v>
      </c>
      <c r="Z27" s="27" t="s">
        <v>309</v>
      </c>
      <c r="AA27" s="27" t="s">
        <v>495</v>
      </c>
      <c r="AB27" s="27" t="s">
        <v>497</v>
      </c>
      <c r="AC27" s="28" t="s">
        <v>498</v>
      </c>
      <c r="AG27" s="26" t="s">
        <v>69</v>
      </c>
      <c r="AH27" s="26" t="s">
        <v>22</v>
      </c>
    </row>
    <row r="28" spans="2:34" ht="18" customHeight="1" thickBot="1" x14ac:dyDescent="0.5">
      <c r="B28" s="83"/>
      <c r="C28" s="94"/>
      <c r="D28" s="10"/>
      <c r="E28" s="11"/>
      <c r="F28" s="10"/>
      <c r="G28" s="11" t="s">
        <v>147</v>
      </c>
      <c r="H28" s="10"/>
      <c r="I28" s="11"/>
      <c r="J28" s="10" t="s">
        <v>280</v>
      </c>
      <c r="K28" s="11" t="s">
        <v>91</v>
      </c>
      <c r="L28" s="10" t="s">
        <v>324</v>
      </c>
      <c r="M28" s="11" t="s">
        <v>188</v>
      </c>
      <c r="N28" s="10" t="s">
        <v>103</v>
      </c>
      <c r="O28" s="11"/>
      <c r="P28" s="12"/>
      <c r="Q28" s="11"/>
      <c r="R28" s="97"/>
      <c r="S28" s="99"/>
      <c r="Y28" s="35" t="s">
        <v>70</v>
      </c>
      <c r="Z28" s="27" t="s">
        <v>309</v>
      </c>
      <c r="AA28" s="27" t="s">
        <v>495</v>
      </c>
      <c r="AB28" s="27" t="s">
        <v>13</v>
      </c>
      <c r="AC28" s="28" t="s">
        <v>309</v>
      </c>
      <c r="AG28" s="26" t="s">
        <v>71</v>
      </c>
      <c r="AH28" s="26" t="s">
        <v>22</v>
      </c>
    </row>
    <row r="29" spans="2:34" ht="18" customHeight="1" x14ac:dyDescent="0.45">
      <c r="B29" s="84"/>
      <c r="C29" s="95"/>
      <c r="D29" s="7"/>
      <c r="E29" s="8"/>
      <c r="F29" s="7" t="s">
        <v>296</v>
      </c>
      <c r="G29" s="9" t="s">
        <v>361</v>
      </c>
      <c r="H29" s="7"/>
      <c r="I29" s="9" t="s">
        <v>81</v>
      </c>
      <c r="J29" s="7"/>
      <c r="K29" s="9"/>
      <c r="L29" s="7"/>
      <c r="M29" s="9" t="s">
        <v>141</v>
      </c>
      <c r="N29" s="7" t="s">
        <v>119</v>
      </c>
      <c r="O29" s="9"/>
      <c r="P29" s="8"/>
      <c r="Q29" s="9"/>
      <c r="R29" s="96" t="str">
        <f>12*S29-11&amp;"-"&amp;12*S29</f>
        <v>49-60</v>
      </c>
      <c r="S29" s="98">
        <v>5</v>
      </c>
      <c r="Y29" s="35" t="s">
        <v>72</v>
      </c>
      <c r="Z29" s="27" t="s">
        <v>309</v>
      </c>
      <c r="AA29" s="27" t="s">
        <v>495</v>
      </c>
      <c r="AB29" s="27" t="s">
        <v>13</v>
      </c>
      <c r="AC29" s="28" t="s">
        <v>309</v>
      </c>
      <c r="AG29" s="26" t="s">
        <v>73</v>
      </c>
      <c r="AH29" s="26" t="s">
        <v>3</v>
      </c>
    </row>
    <row r="30" spans="2:34" ht="18" customHeight="1" x14ac:dyDescent="0.45">
      <c r="B30" s="92">
        <v>6</v>
      </c>
      <c r="C30" s="93" t="str">
        <f t="shared" ref="C30" si="3">10*B30-9&amp;"-"&amp;B30*10</f>
        <v>51-60</v>
      </c>
      <c r="D30" s="4"/>
      <c r="E30" s="5"/>
      <c r="F30" s="4" t="s">
        <v>31</v>
      </c>
      <c r="G30" s="6" t="s">
        <v>210</v>
      </c>
      <c r="H30" s="4"/>
      <c r="I30" s="6"/>
      <c r="J30" s="4"/>
      <c r="K30" s="6"/>
      <c r="L30" s="4" t="s">
        <v>398</v>
      </c>
      <c r="M30" s="6"/>
      <c r="N30" s="4"/>
      <c r="O30" s="6"/>
      <c r="P30" s="5" t="s">
        <v>374</v>
      </c>
      <c r="Q30" s="6" t="s">
        <v>427</v>
      </c>
      <c r="R30" s="89"/>
      <c r="S30" s="91"/>
      <c r="Y30" s="35" t="s">
        <v>74</v>
      </c>
      <c r="Z30" s="27" t="s">
        <v>309</v>
      </c>
      <c r="AA30" s="27" t="s">
        <v>495</v>
      </c>
      <c r="AB30" s="27" t="s">
        <v>8</v>
      </c>
      <c r="AC30" s="28" t="s">
        <v>309</v>
      </c>
      <c r="AG30" s="26" t="s">
        <v>75</v>
      </c>
      <c r="AH30" s="26" t="s">
        <v>3</v>
      </c>
    </row>
    <row r="31" spans="2:34" ht="18" customHeight="1" x14ac:dyDescent="0.45">
      <c r="B31" s="83"/>
      <c r="C31" s="94"/>
      <c r="D31" s="4"/>
      <c r="E31" s="5"/>
      <c r="F31" s="4"/>
      <c r="G31" s="6" t="s">
        <v>134</v>
      </c>
      <c r="H31" s="4" t="s">
        <v>271</v>
      </c>
      <c r="I31" s="6"/>
      <c r="J31" s="4"/>
      <c r="K31" s="6"/>
      <c r="L31" s="4" t="s">
        <v>448</v>
      </c>
      <c r="M31" s="6"/>
      <c r="N31" s="4"/>
      <c r="O31" s="6"/>
      <c r="P31" s="5"/>
      <c r="Q31" s="6"/>
      <c r="R31" s="89"/>
      <c r="S31" s="91"/>
      <c r="Y31" s="35" t="s">
        <v>76</v>
      </c>
      <c r="Z31" s="27" t="s">
        <v>309</v>
      </c>
      <c r="AA31" s="27" t="s">
        <v>495</v>
      </c>
      <c r="AB31" s="27" t="s">
        <v>500</v>
      </c>
      <c r="AC31" s="28" t="s">
        <v>498</v>
      </c>
      <c r="AG31" s="26" t="s">
        <v>27</v>
      </c>
      <c r="AH31" s="26" t="s">
        <v>3</v>
      </c>
    </row>
    <row r="32" spans="2:34" ht="18" customHeight="1" x14ac:dyDescent="0.45">
      <c r="B32" s="83"/>
      <c r="C32" s="94"/>
      <c r="D32" s="4"/>
      <c r="E32" s="5"/>
      <c r="F32" s="4" t="s">
        <v>220</v>
      </c>
      <c r="G32" s="6"/>
      <c r="H32" s="4" t="s">
        <v>347</v>
      </c>
      <c r="I32" s="6"/>
      <c r="J32" s="4"/>
      <c r="K32" s="6"/>
      <c r="L32" s="4"/>
      <c r="M32" s="6" t="s">
        <v>78</v>
      </c>
      <c r="N32" s="4" t="s">
        <v>300</v>
      </c>
      <c r="O32" s="6" t="s">
        <v>331</v>
      </c>
      <c r="P32" s="5" t="s">
        <v>276</v>
      </c>
      <c r="Q32" s="6"/>
      <c r="R32" s="89"/>
      <c r="S32" s="91"/>
      <c r="Y32" s="35" t="s">
        <v>77</v>
      </c>
      <c r="Z32" s="27" t="s">
        <v>309</v>
      </c>
      <c r="AA32" s="27" t="s">
        <v>495</v>
      </c>
      <c r="AB32" s="27" t="s">
        <v>497</v>
      </c>
      <c r="AC32" s="28" t="s">
        <v>498</v>
      </c>
      <c r="AG32" s="26" t="s">
        <v>78</v>
      </c>
      <c r="AH32" s="26" t="s">
        <v>3</v>
      </c>
    </row>
    <row r="33" spans="2:34" ht="18" customHeight="1" x14ac:dyDescent="0.45">
      <c r="B33" s="83"/>
      <c r="C33" s="94"/>
      <c r="D33" s="4"/>
      <c r="E33" s="5"/>
      <c r="F33" s="4" t="s">
        <v>386</v>
      </c>
      <c r="G33" s="6" t="s">
        <v>461</v>
      </c>
      <c r="H33" s="4" t="s">
        <v>134</v>
      </c>
      <c r="I33" s="6"/>
      <c r="J33" s="4"/>
      <c r="K33" s="6"/>
      <c r="L33" s="4"/>
      <c r="M33" s="6"/>
      <c r="N33" s="4"/>
      <c r="O33" s="6" t="s">
        <v>349</v>
      </c>
      <c r="P33" s="5" t="s">
        <v>149</v>
      </c>
      <c r="Q33" s="6" t="s">
        <v>224</v>
      </c>
      <c r="R33" s="89"/>
      <c r="S33" s="91"/>
      <c r="Y33" s="27" t="s">
        <v>79</v>
      </c>
      <c r="Z33" s="27" t="s">
        <v>309</v>
      </c>
      <c r="AA33" s="27" t="s">
        <v>501</v>
      </c>
      <c r="AB33" s="27" t="s">
        <v>13</v>
      </c>
      <c r="AC33" s="28" t="s">
        <v>309</v>
      </c>
      <c r="AG33" s="26" t="s">
        <v>80</v>
      </c>
      <c r="AH33" s="26" t="s">
        <v>3</v>
      </c>
    </row>
    <row r="34" spans="2:34" ht="18" customHeight="1" thickBot="1" x14ac:dyDescent="0.5">
      <c r="B34" s="84"/>
      <c r="C34" s="95"/>
      <c r="D34" s="10"/>
      <c r="E34" s="11"/>
      <c r="F34" s="10"/>
      <c r="G34" s="11"/>
      <c r="H34" s="10"/>
      <c r="I34" s="11"/>
      <c r="J34" s="10"/>
      <c r="K34" s="11" t="s">
        <v>58</v>
      </c>
      <c r="L34" s="10" t="s">
        <v>336</v>
      </c>
      <c r="M34" s="11" t="s">
        <v>366</v>
      </c>
      <c r="N34" s="10"/>
      <c r="O34" s="11"/>
      <c r="P34" s="12"/>
      <c r="Q34" s="11"/>
      <c r="R34" s="97"/>
      <c r="S34" s="99"/>
      <c r="Y34" s="27" t="s">
        <v>81</v>
      </c>
      <c r="Z34" s="27" t="s">
        <v>309</v>
      </c>
      <c r="AA34" s="27" t="s">
        <v>501</v>
      </c>
      <c r="AB34" s="27" t="s">
        <v>10</v>
      </c>
      <c r="AC34" s="28" t="s">
        <v>309</v>
      </c>
      <c r="AG34" s="26" t="s">
        <v>82</v>
      </c>
      <c r="AH34" s="26" t="s">
        <v>3</v>
      </c>
    </row>
    <row r="35" spans="2:34" ht="18" customHeight="1" x14ac:dyDescent="0.45">
      <c r="B35" s="92">
        <v>7</v>
      </c>
      <c r="C35" s="93" t="str">
        <f t="shared" ref="C35" si="4">10*B35-9&amp;"-"&amp;B35*10</f>
        <v>61-70</v>
      </c>
      <c r="D35" s="4"/>
      <c r="E35" s="5"/>
      <c r="F35" s="4" t="s">
        <v>328</v>
      </c>
      <c r="G35" s="6"/>
      <c r="H35" s="4"/>
      <c r="I35" s="6"/>
      <c r="J35" s="4" t="s">
        <v>221</v>
      </c>
      <c r="K35" s="6"/>
      <c r="L35" s="4"/>
      <c r="M35" s="6" t="s">
        <v>374</v>
      </c>
      <c r="N35" s="4"/>
      <c r="O35" s="6"/>
      <c r="P35" s="5"/>
      <c r="Q35" s="6" t="s">
        <v>265</v>
      </c>
      <c r="R35" s="96" t="str">
        <f>12*S35-11&amp;"-"&amp;12*S35</f>
        <v>61-72</v>
      </c>
      <c r="S35" s="98">
        <v>6</v>
      </c>
      <c r="Y35" s="27" t="s">
        <v>83</v>
      </c>
      <c r="Z35" s="27" t="s">
        <v>309</v>
      </c>
      <c r="AA35" s="27" t="s">
        <v>501</v>
      </c>
      <c r="AB35" s="27" t="s">
        <v>14</v>
      </c>
      <c r="AC35" s="28" t="s">
        <v>309</v>
      </c>
      <c r="AG35" s="26" t="s">
        <v>84</v>
      </c>
      <c r="AH35" s="26" t="s">
        <v>3</v>
      </c>
    </row>
    <row r="36" spans="2:34" ht="18" customHeight="1" x14ac:dyDescent="0.45">
      <c r="B36" s="83"/>
      <c r="C36" s="94"/>
      <c r="D36" s="4"/>
      <c r="E36" s="5"/>
      <c r="F36" s="4"/>
      <c r="G36" s="6" t="s">
        <v>85</v>
      </c>
      <c r="H36" s="4"/>
      <c r="I36" s="6"/>
      <c r="J36" s="4"/>
      <c r="K36" s="6"/>
      <c r="L36" s="4" t="s">
        <v>453</v>
      </c>
      <c r="M36" s="6" t="s">
        <v>211</v>
      </c>
      <c r="N36" s="4" t="s">
        <v>67</v>
      </c>
      <c r="O36" s="6"/>
      <c r="P36" s="5"/>
      <c r="Q36" s="6"/>
      <c r="R36" s="89"/>
      <c r="S36" s="91"/>
      <c r="Y36" s="27" t="s">
        <v>85</v>
      </c>
      <c r="Z36" s="27" t="s">
        <v>309</v>
      </c>
      <c r="AA36" s="27" t="s">
        <v>501</v>
      </c>
      <c r="AB36" s="27" t="s">
        <v>9</v>
      </c>
      <c r="AC36" s="28" t="s">
        <v>309</v>
      </c>
      <c r="AG36" s="26" t="s">
        <v>86</v>
      </c>
      <c r="AH36" s="26" t="s">
        <v>3</v>
      </c>
    </row>
    <row r="37" spans="2:34" ht="18" customHeight="1" x14ac:dyDescent="0.45">
      <c r="B37" s="83"/>
      <c r="C37" s="94"/>
      <c r="D37" s="4"/>
      <c r="E37" s="5"/>
      <c r="F37" s="4"/>
      <c r="G37" s="6"/>
      <c r="H37" s="4"/>
      <c r="I37" s="6"/>
      <c r="J37" s="4"/>
      <c r="K37" s="6"/>
      <c r="L37" s="4" t="s">
        <v>138</v>
      </c>
      <c r="M37" s="6"/>
      <c r="N37" s="4"/>
      <c r="O37" s="6"/>
      <c r="P37" s="5"/>
      <c r="Q37" s="6"/>
      <c r="R37" s="89"/>
      <c r="S37" s="91"/>
      <c r="Y37" s="27" t="s">
        <v>87</v>
      </c>
      <c r="Z37" s="27" t="s">
        <v>309</v>
      </c>
      <c r="AA37" s="27" t="s">
        <v>501</v>
      </c>
      <c r="AB37" s="27" t="s">
        <v>497</v>
      </c>
      <c r="AC37" s="28" t="s">
        <v>498</v>
      </c>
      <c r="AG37" s="26" t="s">
        <v>88</v>
      </c>
      <c r="AH37" s="26" t="s">
        <v>3</v>
      </c>
    </row>
    <row r="38" spans="2:34" ht="18" customHeight="1" x14ac:dyDescent="0.45">
      <c r="B38" s="83"/>
      <c r="C38" s="94"/>
      <c r="D38" s="4"/>
      <c r="E38" s="5"/>
      <c r="F38" s="4" t="s">
        <v>253</v>
      </c>
      <c r="G38" s="6" t="s">
        <v>120</v>
      </c>
      <c r="H38" s="4" t="s">
        <v>84</v>
      </c>
      <c r="I38" s="6"/>
      <c r="J38" s="4"/>
      <c r="K38" s="6"/>
      <c r="L38" s="4" t="s">
        <v>359</v>
      </c>
      <c r="M38" s="6" t="s">
        <v>140</v>
      </c>
      <c r="N38" s="4"/>
      <c r="O38" s="6"/>
      <c r="P38" s="5"/>
      <c r="Q38" s="6"/>
      <c r="R38" s="89"/>
      <c r="S38" s="91"/>
      <c r="Y38" s="27" t="s">
        <v>89</v>
      </c>
      <c r="Z38" s="27" t="s">
        <v>309</v>
      </c>
      <c r="AA38" s="27" t="s">
        <v>501</v>
      </c>
      <c r="AB38" s="27" t="s">
        <v>8</v>
      </c>
      <c r="AC38" s="28" t="s">
        <v>309</v>
      </c>
      <c r="AG38" s="26" t="s">
        <v>90</v>
      </c>
      <c r="AH38" s="26" t="s">
        <v>3</v>
      </c>
    </row>
    <row r="39" spans="2:34" ht="18" customHeight="1" x14ac:dyDescent="0.45">
      <c r="B39" s="84"/>
      <c r="C39" s="95"/>
      <c r="D39" s="7"/>
      <c r="E39" s="8"/>
      <c r="F39" s="7"/>
      <c r="G39" s="9"/>
      <c r="H39" s="7"/>
      <c r="I39" s="9"/>
      <c r="J39" s="7"/>
      <c r="K39" s="9"/>
      <c r="L39" s="7"/>
      <c r="M39" s="9"/>
      <c r="N39" s="7"/>
      <c r="O39" s="9" t="s">
        <v>458</v>
      </c>
      <c r="P39" s="8" t="s">
        <v>469</v>
      </c>
      <c r="Q39" s="9"/>
      <c r="R39" s="89"/>
      <c r="S39" s="91"/>
      <c r="Y39" s="27" t="s">
        <v>91</v>
      </c>
      <c r="Z39" s="27" t="s">
        <v>309</v>
      </c>
      <c r="AA39" s="27" t="s">
        <v>501</v>
      </c>
      <c r="AB39" s="27" t="s">
        <v>11</v>
      </c>
      <c r="AC39" s="28" t="s">
        <v>309</v>
      </c>
      <c r="AG39" s="26" t="s">
        <v>92</v>
      </c>
      <c r="AH39" s="26" t="s">
        <v>3</v>
      </c>
    </row>
    <row r="40" spans="2:34" ht="18" customHeight="1" thickBot="1" x14ac:dyDescent="0.5">
      <c r="B40" s="92">
        <v>8</v>
      </c>
      <c r="C40" s="93" t="str">
        <f t="shared" ref="C40" si="5">10*B40-9&amp;"-"&amp;B40*10</f>
        <v>71-80</v>
      </c>
      <c r="D40" s="10"/>
      <c r="E40" s="11"/>
      <c r="F40" s="10"/>
      <c r="G40" s="11"/>
      <c r="H40" s="10"/>
      <c r="I40" s="11"/>
      <c r="J40" s="10"/>
      <c r="K40" s="11"/>
      <c r="L40" s="10" t="s">
        <v>406</v>
      </c>
      <c r="M40" s="11" t="s">
        <v>331</v>
      </c>
      <c r="N40" s="10" t="s">
        <v>212</v>
      </c>
      <c r="O40" s="11" t="s">
        <v>277</v>
      </c>
      <c r="P40" s="12"/>
      <c r="Q40" s="11"/>
      <c r="R40" s="97"/>
      <c r="S40" s="99"/>
      <c r="Y40" s="27" t="s">
        <v>93</v>
      </c>
      <c r="Z40" s="27" t="s">
        <v>309</v>
      </c>
      <c r="AA40" s="27" t="s">
        <v>501</v>
      </c>
      <c r="AB40" s="27" t="s">
        <v>12</v>
      </c>
      <c r="AC40" s="28" t="s">
        <v>309</v>
      </c>
      <c r="AG40" s="26" t="s">
        <v>94</v>
      </c>
      <c r="AH40" s="26" t="s">
        <v>3</v>
      </c>
    </row>
    <row r="41" spans="2:34" ht="18" customHeight="1" x14ac:dyDescent="0.45">
      <c r="B41" s="83"/>
      <c r="C41" s="94"/>
      <c r="D41" s="4"/>
      <c r="E41" s="5"/>
      <c r="F41" s="4" t="s">
        <v>43</v>
      </c>
      <c r="G41" s="6" t="s">
        <v>44</v>
      </c>
      <c r="H41" s="4"/>
      <c r="I41" s="6"/>
      <c r="J41" s="4"/>
      <c r="K41" s="6"/>
      <c r="L41" s="4"/>
      <c r="M41" s="6"/>
      <c r="N41" s="4"/>
      <c r="O41" s="6"/>
      <c r="P41" s="5"/>
      <c r="Q41" s="6" t="s">
        <v>464</v>
      </c>
      <c r="R41" s="96" t="str">
        <f>12*S41-11&amp;"-"&amp;12*S41</f>
        <v>73-84</v>
      </c>
      <c r="S41" s="98">
        <v>7</v>
      </c>
      <c r="Y41" s="27" t="s">
        <v>95</v>
      </c>
      <c r="Z41" s="27" t="s">
        <v>309</v>
      </c>
      <c r="AA41" s="27" t="s">
        <v>501</v>
      </c>
      <c r="AB41" s="27" t="s">
        <v>14</v>
      </c>
      <c r="AC41" s="28" t="s">
        <v>309</v>
      </c>
      <c r="AG41" s="26" t="s">
        <v>96</v>
      </c>
      <c r="AH41" s="26" t="s">
        <v>3</v>
      </c>
    </row>
    <row r="42" spans="2:34" ht="18" customHeight="1" x14ac:dyDescent="0.45">
      <c r="B42" s="83"/>
      <c r="C42" s="94"/>
      <c r="D42" s="4"/>
      <c r="E42" s="5"/>
      <c r="F42" s="4" t="s">
        <v>329</v>
      </c>
      <c r="G42" s="6" t="s">
        <v>429</v>
      </c>
      <c r="H42" s="4"/>
      <c r="I42" s="6"/>
      <c r="J42" s="4"/>
      <c r="K42" s="6"/>
      <c r="L42" s="4"/>
      <c r="M42" s="6"/>
      <c r="N42" s="4" t="s">
        <v>410</v>
      </c>
      <c r="O42" s="6"/>
      <c r="P42" s="5"/>
      <c r="Q42" s="6"/>
      <c r="R42" s="89"/>
      <c r="S42" s="91"/>
      <c r="Y42" s="27" t="s">
        <v>97</v>
      </c>
      <c r="Z42" s="27" t="s">
        <v>309</v>
      </c>
      <c r="AA42" s="27" t="s">
        <v>501</v>
      </c>
      <c r="AB42" s="27" t="s">
        <v>497</v>
      </c>
      <c r="AC42" s="28" t="s">
        <v>498</v>
      </c>
      <c r="AG42" s="26" t="s">
        <v>98</v>
      </c>
      <c r="AH42" s="26" t="s">
        <v>3</v>
      </c>
    </row>
    <row r="43" spans="2:34" ht="18" customHeight="1" x14ac:dyDescent="0.45">
      <c r="B43" s="83"/>
      <c r="C43" s="94"/>
      <c r="D43" s="4"/>
      <c r="E43" s="5"/>
      <c r="F43" s="4" t="s">
        <v>106</v>
      </c>
      <c r="G43" s="6"/>
      <c r="H43" s="4"/>
      <c r="I43" s="6" t="s">
        <v>46</v>
      </c>
      <c r="J43" s="4"/>
      <c r="K43" s="6"/>
      <c r="L43" s="4"/>
      <c r="M43" s="6"/>
      <c r="N43" s="4"/>
      <c r="O43" s="6"/>
      <c r="P43" s="5"/>
      <c r="Q43" s="6"/>
      <c r="R43" s="89"/>
      <c r="S43" s="91"/>
      <c r="Y43" s="27" t="s">
        <v>99</v>
      </c>
      <c r="Z43" s="27" t="s">
        <v>309</v>
      </c>
      <c r="AA43" s="27" t="s">
        <v>501</v>
      </c>
      <c r="AB43" s="27" t="s">
        <v>13</v>
      </c>
      <c r="AC43" s="28" t="s">
        <v>309</v>
      </c>
      <c r="AG43" s="26" t="s">
        <v>100</v>
      </c>
      <c r="AH43" s="26" t="s">
        <v>3</v>
      </c>
    </row>
    <row r="44" spans="2:34" ht="18" customHeight="1" x14ac:dyDescent="0.45">
      <c r="B44" s="84"/>
      <c r="C44" s="95"/>
      <c r="D44" s="7"/>
      <c r="E44" s="8"/>
      <c r="F44" s="7"/>
      <c r="G44" s="9"/>
      <c r="H44" s="7" t="s">
        <v>370</v>
      </c>
      <c r="I44" s="9"/>
      <c r="J44" s="7"/>
      <c r="K44" s="9"/>
      <c r="L44" s="7"/>
      <c r="M44" s="9" t="s">
        <v>100</v>
      </c>
      <c r="N44" s="7"/>
      <c r="O44" s="9"/>
      <c r="P44" s="8"/>
      <c r="Q44" s="9"/>
      <c r="R44" s="89"/>
      <c r="S44" s="91"/>
      <c r="Y44" s="27" t="s">
        <v>101</v>
      </c>
      <c r="Z44" s="27" t="s">
        <v>309</v>
      </c>
      <c r="AA44" s="27" t="s">
        <v>501</v>
      </c>
      <c r="AB44" s="27" t="s">
        <v>12</v>
      </c>
      <c r="AC44" s="28" t="s">
        <v>309</v>
      </c>
      <c r="AG44" s="26" t="s">
        <v>102</v>
      </c>
      <c r="AH44" s="26" t="s">
        <v>3</v>
      </c>
    </row>
    <row r="45" spans="2:34" ht="18" customHeight="1" x14ac:dyDescent="0.45">
      <c r="B45" s="92">
        <v>9</v>
      </c>
      <c r="C45" s="93" t="str">
        <f t="shared" ref="C45" si="6">10*B45-9&amp;"-"&amp;B45*10</f>
        <v>81-90</v>
      </c>
      <c r="D45" s="4" t="s">
        <v>229</v>
      </c>
      <c r="E45" s="5"/>
      <c r="F45" s="4" t="s">
        <v>451</v>
      </c>
      <c r="G45" s="6" t="s">
        <v>33</v>
      </c>
      <c r="H45" s="4"/>
      <c r="I45" s="6" t="s">
        <v>63</v>
      </c>
      <c r="J45" s="4"/>
      <c r="K45" s="6"/>
      <c r="L45" s="4"/>
      <c r="M45" s="6" t="s">
        <v>67</v>
      </c>
      <c r="N45" s="4"/>
      <c r="O45" s="6"/>
      <c r="P45" s="5"/>
      <c r="Q45" s="6"/>
      <c r="R45" s="89"/>
      <c r="S45" s="91"/>
      <c r="Y45" s="27" t="s">
        <v>103</v>
      </c>
      <c r="Z45" s="27" t="s">
        <v>309</v>
      </c>
      <c r="AA45" s="27" t="s">
        <v>501</v>
      </c>
      <c r="AB45" s="27" t="s">
        <v>13</v>
      </c>
      <c r="AC45" s="28" t="s">
        <v>309</v>
      </c>
      <c r="AG45" s="26" t="s">
        <v>104</v>
      </c>
      <c r="AH45" s="26" t="s">
        <v>3</v>
      </c>
    </row>
    <row r="46" spans="2:34" ht="18" customHeight="1" thickBot="1" x14ac:dyDescent="0.5">
      <c r="B46" s="83"/>
      <c r="C46" s="94"/>
      <c r="D46" s="10"/>
      <c r="E46" s="11"/>
      <c r="F46" s="10" t="s">
        <v>48</v>
      </c>
      <c r="G46" s="11" t="s">
        <v>133</v>
      </c>
      <c r="H46" s="10"/>
      <c r="I46" s="11" t="s">
        <v>202</v>
      </c>
      <c r="J46" s="10"/>
      <c r="K46" s="11"/>
      <c r="L46" s="10"/>
      <c r="M46" s="11"/>
      <c r="N46" s="10"/>
      <c r="O46" s="11"/>
      <c r="P46" s="12"/>
      <c r="Q46" s="11"/>
      <c r="R46" s="97"/>
      <c r="S46" s="99"/>
      <c r="Y46" s="27" t="s">
        <v>105</v>
      </c>
      <c r="Z46" s="27" t="s">
        <v>309</v>
      </c>
      <c r="AA46" s="27" t="s">
        <v>501</v>
      </c>
      <c r="AB46" s="27" t="s">
        <v>9</v>
      </c>
      <c r="AC46" s="28" t="s">
        <v>309</v>
      </c>
      <c r="AG46" s="26" t="s">
        <v>106</v>
      </c>
      <c r="AH46" s="26" t="s">
        <v>3</v>
      </c>
    </row>
    <row r="47" spans="2:34" ht="18" customHeight="1" x14ac:dyDescent="0.45">
      <c r="B47" s="83"/>
      <c r="C47" s="94"/>
      <c r="D47" s="4" t="s">
        <v>123</v>
      </c>
      <c r="E47" s="5"/>
      <c r="F47" s="4"/>
      <c r="G47" s="6"/>
      <c r="H47" s="4"/>
      <c r="I47" s="6"/>
      <c r="J47" s="4"/>
      <c r="K47" s="6"/>
      <c r="L47" s="4"/>
      <c r="M47" s="6"/>
      <c r="N47" s="4"/>
      <c r="O47" s="6"/>
      <c r="P47" s="5"/>
      <c r="Q47" s="6"/>
      <c r="R47" s="96" t="str">
        <f>12*S47-11&amp;"-"&amp;12*S47</f>
        <v>85-96</v>
      </c>
      <c r="S47" s="98">
        <v>8</v>
      </c>
      <c r="Y47" s="27" t="s">
        <v>107</v>
      </c>
      <c r="Z47" s="27" t="s">
        <v>309</v>
      </c>
      <c r="AA47" s="27" t="s">
        <v>501</v>
      </c>
      <c r="AB47" s="27" t="s">
        <v>12</v>
      </c>
      <c r="AC47" s="28" t="s">
        <v>309</v>
      </c>
      <c r="AG47" s="26" t="s">
        <v>108</v>
      </c>
      <c r="AH47" s="26" t="s">
        <v>3</v>
      </c>
    </row>
    <row r="48" spans="2:34" ht="18" customHeight="1" x14ac:dyDescent="0.45">
      <c r="B48" s="83"/>
      <c r="C48" s="94"/>
      <c r="D48" s="4"/>
      <c r="E48" s="5"/>
      <c r="F48" s="4"/>
      <c r="G48" s="6"/>
      <c r="H48" s="4" t="s">
        <v>38</v>
      </c>
      <c r="I48" s="6"/>
      <c r="J48" s="4" t="s">
        <v>454</v>
      </c>
      <c r="K48" s="6"/>
      <c r="L48" s="4"/>
      <c r="M48" s="6"/>
      <c r="N48" s="4"/>
      <c r="O48" s="6"/>
      <c r="P48" s="5" t="s">
        <v>114</v>
      </c>
      <c r="Q48" s="6"/>
      <c r="R48" s="89"/>
      <c r="S48" s="91"/>
      <c r="Y48" s="27" t="s">
        <v>109</v>
      </c>
      <c r="Z48" s="27" t="s">
        <v>309</v>
      </c>
      <c r="AA48" s="27" t="s">
        <v>501</v>
      </c>
      <c r="AB48" s="27" t="s">
        <v>9</v>
      </c>
      <c r="AC48" s="28" t="s">
        <v>309</v>
      </c>
      <c r="AG48" s="26" t="s">
        <v>110</v>
      </c>
      <c r="AH48" s="26" t="s">
        <v>3</v>
      </c>
    </row>
    <row r="49" spans="2:34" ht="18" customHeight="1" x14ac:dyDescent="0.45">
      <c r="B49" s="84"/>
      <c r="C49" s="95"/>
      <c r="D49" s="7"/>
      <c r="E49" s="8"/>
      <c r="F49" s="7" t="s">
        <v>98</v>
      </c>
      <c r="G49" s="9" t="s">
        <v>237</v>
      </c>
      <c r="H49" s="7"/>
      <c r="I49" s="9"/>
      <c r="J49" s="7"/>
      <c r="K49" s="9"/>
      <c r="L49" s="7" t="s">
        <v>137</v>
      </c>
      <c r="M49" s="9" t="s">
        <v>214</v>
      </c>
      <c r="N49" s="7" t="s">
        <v>137</v>
      </c>
      <c r="O49" s="9" t="s">
        <v>457</v>
      </c>
      <c r="P49" s="8"/>
      <c r="Q49" s="9"/>
      <c r="R49" s="89"/>
      <c r="S49" s="91"/>
      <c r="Y49" s="27" t="s">
        <v>111</v>
      </c>
      <c r="Z49" s="27" t="s">
        <v>309</v>
      </c>
      <c r="AA49" s="27" t="s">
        <v>501</v>
      </c>
      <c r="AB49" s="27" t="s">
        <v>11</v>
      </c>
      <c r="AC49" s="28" t="s">
        <v>309</v>
      </c>
      <c r="AG49" s="26" t="s">
        <v>112</v>
      </c>
      <c r="AH49" s="26" t="s">
        <v>3</v>
      </c>
    </row>
    <row r="50" spans="2:34" ht="18" customHeight="1" x14ac:dyDescent="0.45">
      <c r="B50" s="92">
        <v>10</v>
      </c>
      <c r="C50" s="93" t="str">
        <f t="shared" ref="C50" si="7">10*B50-9&amp;"-"&amp;B50*10</f>
        <v>91-100</v>
      </c>
      <c r="D50" s="4"/>
      <c r="E50" s="5"/>
      <c r="F50" s="4"/>
      <c r="G50" s="6" t="s">
        <v>332</v>
      </c>
      <c r="H50" s="4" t="s">
        <v>352</v>
      </c>
      <c r="I50" s="6"/>
      <c r="J50" s="4"/>
      <c r="K50" s="6"/>
      <c r="L50" s="4" t="s">
        <v>60</v>
      </c>
      <c r="M50" s="6"/>
      <c r="N50" s="4" t="s">
        <v>407</v>
      </c>
      <c r="O50" s="6"/>
      <c r="P50" s="5"/>
      <c r="Q50" s="6"/>
      <c r="R50" s="89"/>
      <c r="S50" s="91"/>
      <c r="Y50" s="27" t="s">
        <v>113</v>
      </c>
      <c r="Z50" s="27" t="s">
        <v>309</v>
      </c>
      <c r="AA50" s="27" t="s">
        <v>501</v>
      </c>
      <c r="AB50" s="27" t="s">
        <v>12</v>
      </c>
      <c r="AC50" s="28" t="s">
        <v>309</v>
      </c>
      <c r="AG50" s="26" t="s">
        <v>114</v>
      </c>
      <c r="AH50" s="26" t="s">
        <v>3</v>
      </c>
    </row>
    <row r="51" spans="2:34" ht="18" customHeight="1" x14ac:dyDescent="0.45">
      <c r="B51" s="83"/>
      <c r="C51" s="94"/>
      <c r="D51" s="4"/>
      <c r="E51" s="5"/>
      <c r="F51" s="4"/>
      <c r="G51" s="6"/>
      <c r="H51" s="4" t="s">
        <v>230</v>
      </c>
      <c r="I51" s="6"/>
      <c r="J51" s="4" t="s">
        <v>285</v>
      </c>
      <c r="K51" s="6"/>
      <c r="L51" s="4"/>
      <c r="M51" s="6" t="s">
        <v>118</v>
      </c>
      <c r="N51" s="4" t="s">
        <v>203</v>
      </c>
      <c r="O51" s="6"/>
      <c r="P51" s="5" t="s">
        <v>287</v>
      </c>
      <c r="Q51" s="6" t="s">
        <v>313</v>
      </c>
      <c r="R51" s="89"/>
      <c r="S51" s="91"/>
      <c r="Y51" s="27" t="s">
        <v>115</v>
      </c>
      <c r="Z51" s="27" t="s">
        <v>309</v>
      </c>
      <c r="AA51" s="27" t="s">
        <v>501</v>
      </c>
      <c r="AB51" s="27" t="s">
        <v>12</v>
      </c>
      <c r="AC51" s="28" t="s">
        <v>309</v>
      </c>
      <c r="AG51" s="26" t="s">
        <v>116</v>
      </c>
      <c r="AH51" s="26" t="s">
        <v>3</v>
      </c>
    </row>
    <row r="52" spans="2:34" ht="18" customHeight="1" thickBot="1" x14ac:dyDescent="0.5">
      <c r="B52" s="83"/>
      <c r="C52" s="94"/>
      <c r="D52" s="10"/>
      <c r="E52" s="11" t="s">
        <v>371</v>
      </c>
      <c r="F52" s="10" t="s">
        <v>344</v>
      </c>
      <c r="G52" s="11" t="s">
        <v>243</v>
      </c>
      <c r="H52" s="10"/>
      <c r="I52" s="11"/>
      <c r="J52" s="10"/>
      <c r="K52" s="11"/>
      <c r="L52" s="10"/>
      <c r="M52" s="11"/>
      <c r="N52" s="10"/>
      <c r="O52" s="11"/>
      <c r="P52" s="12" t="s">
        <v>399</v>
      </c>
      <c r="Q52" s="11" t="s">
        <v>192</v>
      </c>
      <c r="R52" s="97"/>
      <c r="S52" s="99"/>
      <c r="Y52" s="27" t="s">
        <v>117</v>
      </c>
      <c r="Z52" s="27" t="s">
        <v>309</v>
      </c>
      <c r="AA52" s="27" t="s">
        <v>501</v>
      </c>
      <c r="AB52" s="27" t="s">
        <v>13</v>
      </c>
      <c r="AC52" s="28" t="s">
        <v>309</v>
      </c>
      <c r="AG52" s="26" t="s">
        <v>118</v>
      </c>
      <c r="AH52" s="26" t="s">
        <v>3</v>
      </c>
    </row>
    <row r="53" spans="2:34" ht="18" customHeight="1" x14ac:dyDescent="0.45">
      <c r="B53" s="83"/>
      <c r="C53" s="94"/>
      <c r="D53" s="4" t="s">
        <v>213</v>
      </c>
      <c r="E53" s="5"/>
      <c r="F53" s="4"/>
      <c r="G53" s="6" t="s">
        <v>415</v>
      </c>
      <c r="H53" s="4"/>
      <c r="I53" s="6"/>
      <c r="J53" s="4"/>
      <c r="K53" s="6"/>
      <c r="L53" s="4" t="s">
        <v>368</v>
      </c>
      <c r="M53" s="6"/>
      <c r="N53" s="4"/>
      <c r="O53" s="6"/>
      <c r="P53" s="5"/>
      <c r="Q53" s="6" t="s">
        <v>182</v>
      </c>
      <c r="R53" s="96" t="str">
        <f>12*S53-11&amp;"-"&amp;12*S53</f>
        <v>97-108</v>
      </c>
      <c r="S53" s="98">
        <v>9</v>
      </c>
      <c r="Y53" s="27" t="s">
        <v>119</v>
      </c>
      <c r="Z53" s="27" t="s">
        <v>309</v>
      </c>
      <c r="AA53" s="27" t="s">
        <v>501</v>
      </c>
      <c r="AB53" s="27" t="s">
        <v>13</v>
      </c>
      <c r="AC53" s="28" t="s">
        <v>309</v>
      </c>
      <c r="AG53" s="26" t="s">
        <v>120</v>
      </c>
      <c r="AH53" s="26" t="s">
        <v>29</v>
      </c>
    </row>
    <row r="54" spans="2:34" ht="18" customHeight="1" x14ac:dyDescent="0.45">
      <c r="B54" s="84"/>
      <c r="C54" s="95"/>
      <c r="D54" s="7"/>
      <c r="E54" s="8"/>
      <c r="F54" s="7" t="s">
        <v>148</v>
      </c>
      <c r="G54" s="9" t="s">
        <v>326</v>
      </c>
      <c r="H54" s="7"/>
      <c r="I54" s="9"/>
      <c r="J54" s="7"/>
      <c r="K54" s="9"/>
      <c r="L54" s="7" t="s">
        <v>151</v>
      </c>
      <c r="M54" s="9"/>
      <c r="N54" s="7"/>
      <c r="O54" s="9"/>
      <c r="P54" s="8"/>
      <c r="Q54" s="9"/>
      <c r="R54" s="89"/>
      <c r="S54" s="91"/>
      <c r="Y54" s="27" t="s">
        <v>121</v>
      </c>
      <c r="Z54" s="27" t="s">
        <v>309</v>
      </c>
      <c r="AA54" s="27" t="s">
        <v>501</v>
      </c>
      <c r="AB54" s="27" t="s">
        <v>497</v>
      </c>
      <c r="AC54" s="28" t="s">
        <v>498</v>
      </c>
      <c r="AG54" s="26" t="s">
        <v>122</v>
      </c>
      <c r="AH54" s="26" t="s">
        <v>29</v>
      </c>
    </row>
    <row r="55" spans="2:34" ht="18" customHeight="1" x14ac:dyDescent="0.45">
      <c r="B55" s="92">
        <v>11</v>
      </c>
      <c r="C55" s="93" t="str">
        <f t="shared" ref="C55" si="8">10*B55-9&amp;"-"&amp;B55*10</f>
        <v>101-110</v>
      </c>
      <c r="D55" s="4"/>
      <c r="E55" s="5"/>
      <c r="F55" s="4" t="s">
        <v>350</v>
      </c>
      <c r="G55" s="6" t="s">
        <v>219</v>
      </c>
      <c r="H55" s="4"/>
      <c r="I55" s="6"/>
      <c r="J55" s="4"/>
      <c r="K55" s="6"/>
      <c r="L55" s="4"/>
      <c r="M55" s="6"/>
      <c r="N55" s="4" t="s">
        <v>47</v>
      </c>
      <c r="O55" s="6"/>
      <c r="P55" s="5" t="s">
        <v>95</v>
      </c>
      <c r="Q55" s="6"/>
      <c r="R55" s="89"/>
      <c r="S55" s="91"/>
      <c r="Y55" s="27" t="s">
        <v>123</v>
      </c>
      <c r="Z55" s="27" t="s">
        <v>309</v>
      </c>
      <c r="AA55" s="27" t="s">
        <v>501</v>
      </c>
      <c r="AB55" s="27" t="s">
        <v>8</v>
      </c>
      <c r="AC55" s="28" t="s">
        <v>309</v>
      </c>
      <c r="AG55" s="26" t="s">
        <v>124</v>
      </c>
      <c r="AH55" s="26" t="s">
        <v>29</v>
      </c>
    </row>
    <row r="56" spans="2:34" ht="18" customHeight="1" x14ac:dyDescent="0.45">
      <c r="B56" s="83"/>
      <c r="C56" s="94"/>
      <c r="D56" s="4"/>
      <c r="E56" s="5"/>
      <c r="F56" s="4" t="s">
        <v>402</v>
      </c>
      <c r="G56" s="6" t="s">
        <v>444</v>
      </c>
      <c r="H56" s="4"/>
      <c r="I56" s="6"/>
      <c r="J56" s="4"/>
      <c r="K56" s="6"/>
      <c r="L56" s="4" t="s">
        <v>51</v>
      </c>
      <c r="M56" s="6" t="s">
        <v>244</v>
      </c>
      <c r="N56" s="4" t="s">
        <v>247</v>
      </c>
      <c r="O56" s="6"/>
      <c r="P56" s="5"/>
      <c r="Q56" s="6"/>
      <c r="R56" s="89"/>
      <c r="S56" s="91"/>
      <c r="Y56" s="27" t="s">
        <v>125</v>
      </c>
      <c r="Z56" s="27" t="s">
        <v>309</v>
      </c>
      <c r="AA56" s="27" t="s">
        <v>501</v>
      </c>
      <c r="AB56" s="27" t="s">
        <v>9</v>
      </c>
      <c r="AC56" s="28" t="s">
        <v>309</v>
      </c>
      <c r="AG56" s="26" t="s">
        <v>126</v>
      </c>
      <c r="AH56" s="26" t="s">
        <v>29</v>
      </c>
    </row>
    <row r="57" spans="2:34" ht="18" customHeight="1" x14ac:dyDescent="0.45">
      <c r="B57" s="83"/>
      <c r="C57" s="94"/>
      <c r="D57" s="4" t="s">
        <v>96</v>
      </c>
      <c r="E57" s="5"/>
      <c r="F57" s="4"/>
      <c r="G57" s="6"/>
      <c r="H57" s="4"/>
      <c r="I57" s="6"/>
      <c r="J57" s="4" t="s">
        <v>467</v>
      </c>
      <c r="K57" s="6" t="s">
        <v>82</v>
      </c>
      <c r="L57" s="4"/>
      <c r="M57" s="6"/>
      <c r="N57" s="4"/>
      <c r="O57" s="6"/>
      <c r="P57" s="5"/>
      <c r="Q57" s="6"/>
      <c r="R57" s="89"/>
      <c r="S57" s="91"/>
      <c r="Y57" s="27" t="s">
        <v>127</v>
      </c>
      <c r="Z57" s="27" t="s">
        <v>309</v>
      </c>
      <c r="AA57" s="27" t="s">
        <v>501</v>
      </c>
      <c r="AB57" s="27" t="s">
        <v>12</v>
      </c>
      <c r="AC57" s="28" t="s">
        <v>309</v>
      </c>
      <c r="AG57" s="26" t="s">
        <v>128</v>
      </c>
      <c r="AH57" s="26" t="s">
        <v>29</v>
      </c>
    </row>
    <row r="58" spans="2:34" ht="18" customHeight="1" thickBot="1" x14ac:dyDescent="0.5">
      <c r="B58" s="83"/>
      <c r="C58" s="94"/>
      <c r="D58" s="10"/>
      <c r="E58" s="11"/>
      <c r="F58" s="10"/>
      <c r="G58" s="11" t="s">
        <v>323</v>
      </c>
      <c r="H58" s="10"/>
      <c r="I58" s="11"/>
      <c r="J58" s="10"/>
      <c r="K58" s="11"/>
      <c r="L58" s="10" t="s">
        <v>288</v>
      </c>
      <c r="M58" s="11" t="s">
        <v>223</v>
      </c>
      <c r="N58" s="10"/>
      <c r="O58" s="11"/>
      <c r="P58" s="12"/>
      <c r="Q58" s="11"/>
      <c r="R58" s="97"/>
      <c r="S58" s="99"/>
      <c r="Y58" s="27" t="s">
        <v>129</v>
      </c>
      <c r="Z58" s="27" t="s">
        <v>309</v>
      </c>
      <c r="AA58" s="27">
        <v>0</v>
      </c>
      <c r="AB58" s="27" t="s">
        <v>14</v>
      </c>
      <c r="AC58" s="28" t="s">
        <v>309</v>
      </c>
      <c r="AG58" s="26" t="s">
        <v>130</v>
      </c>
      <c r="AH58" s="26" t="s">
        <v>29</v>
      </c>
    </row>
    <row r="59" spans="2:34" ht="18" customHeight="1" x14ac:dyDescent="0.45">
      <c r="B59" s="84"/>
      <c r="C59" s="95"/>
      <c r="D59" s="7"/>
      <c r="E59" s="8"/>
      <c r="F59" s="7"/>
      <c r="G59" s="9" t="s">
        <v>196</v>
      </c>
      <c r="H59" s="7"/>
      <c r="I59" s="9"/>
      <c r="J59" s="7"/>
      <c r="K59" s="9"/>
      <c r="L59" s="7" t="s">
        <v>322</v>
      </c>
      <c r="M59" s="9" t="s">
        <v>275</v>
      </c>
      <c r="N59" s="7"/>
      <c r="O59" s="9"/>
      <c r="P59" s="8"/>
      <c r="Q59" s="9"/>
      <c r="R59" s="96" t="str">
        <f>12*S59-11&amp;"-"&amp;12*S59</f>
        <v>109-120</v>
      </c>
      <c r="S59" s="98">
        <v>10</v>
      </c>
      <c r="Y59" s="35" t="s">
        <v>131</v>
      </c>
      <c r="Z59" s="27" t="s">
        <v>309</v>
      </c>
      <c r="AA59" s="27" t="s">
        <v>501</v>
      </c>
      <c r="AB59" s="27" t="s">
        <v>11</v>
      </c>
      <c r="AC59" s="28" t="s">
        <v>309</v>
      </c>
      <c r="AG59" s="26" t="s">
        <v>132</v>
      </c>
      <c r="AH59" s="26" t="s">
        <v>29</v>
      </c>
    </row>
    <row r="60" spans="2:34" ht="18" customHeight="1" x14ac:dyDescent="0.45">
      <c r="B60" s="92">
        <v>12</v>
      </c>
      <c r="C60" s="93" t="str">
        <f t="shared" ref="C60" si="9">10*B60-9&amp;"-"&amp;B60*10</f>
        <v>111-120</v>
      </c>
      <c r="D60" s="4"/>
      <c r="E60" s="5"/>
      <c r="F60" s="4"/>
      <c r="G60" s="6" t="s">
        <v>20</v>
      </c>
      <c r="H60" s="4"/>
      <c r="I60" s="6"/>
      <c r="J60" s="4"/>
      <c r="K60" s="6"/>
      <c r="L60" s="4"/>
      <c r="M60" s="6"/>
      <c r="N60" s="4"/>
      <c r="O60" s="6" t="s">
        <v>124</v>
      </c>
      <c r="P60" s="5"/>
      <c r="Q60" s="6"/>
      <c r="R60" s="89"/>
      <c r="S60" s="91"/>
      <c r="Y60" s="35" t="s">
        <v>133</v>
      </c>
      <c r="Z60" s="27" t="s">
        <v>309</v>
      </c>
      <c r="AA60" s="27" t="s">
        <v>501</v>
      </c>
      <c r="AB60" s="27" t="s">
        <v>9</v>
      </c>
      <c r="AC60" s="28" t="s">
        <v>309</v>
      </c>
      <c r="AG60" s="26" t="s">
        <v>134</v>
      </c>
      <c r="AH60" s="26" t="s">
        <v>29</v>
      </c>
    </row>
    <row r="61" spans="2:34" ht="18" customHeight="1" x14ac:dyDescent="0.45">
      <c r="B61" s="83"/>
      <c r="C61" s="94"/>
      <c r="D61" s="4"/>
      <c r="E61" s="5" t="s">
        <v>447</v>
      </c>
      <c r="F61" s="4"/>
      <c r="G61" s="6"/>
      <c r="H61" s="4"/>
      <c r="I61" s="6"/>
      <c r="J61" s="4"/>
      <c r="K61" s="6"/>
      <c r="L61" s="4"/>
      <c r="M61" s="6"/>
      <c r="N61" s="4"/>
      <c r="O61" s="6"/>
      <c r="P61" s="5"/>
      <c r="Q61" s="6"/>
      <c r="R61" s="89"/>
      <c r="S61" s="91"/>
      <c r="Y61" s="35" t="s">
        <v>135</v>
      </c>
      <c r="Z61" s="27" t="s">
        <v>309</v>
      </c>
      <c r="AA61" s="27" t="s">
        <v>502</v>
      </c>
      <c r="AB61" s="27" t="s">
        <v>12</v>
      </c>
      <c r="AC61" s="28" t="s">
        <v>309</v>
      </c>
      <c r="AG61" s="26" t="s">
        <v>136</v>
      </c>
      <c r="AH61" s="26" t="s">
        <v>29</v>
      </c>
    </row>
    <row r="62" spans="2:34" ht="18" customHeight="1" x14ac:dyDescent="0.45">
      <c r="B62" s="83"/>
      <c r="C62" s="94"/>
      <c r="D62" s="4"/>
      <c r="E62" s="5"/>
      <c r="F62" s="4" t="s">
        <v>186</v>
      </c>
      <c r="G62" s="6"/>
      <c r="H62" s="4"/>
      <c r="I62" s="6"/>
      <c r="J62" s="4"/>
      <c r="K62" s="6"/>
      <c r="L62" s="4"/>
      <c r="M62" s="6" t="s">
        <v>372</v>
      </c>
      <c r="N62" s="4"/>
      <c r="O62" s="6"/>
      <c r="P62" s="5"/>
      <c r="Q62" s="6"/>
      <c r="R62" s="89"/>
      <c r="S62" s="91"/>
      <c r="Y62" s="35" t="s">
        <v>137</v>
      </c>
      <c r="Z62" s="27" t="s">
        <v>309</v>
      </c>
      <c r="AA62" s="27" t="s">
        <v>502</v>
      </c>
      <c r="AB62" s="27" t="s">
        <v>497</v>
      </c>
      <c r="AC62" s="28" t="s">
        <v>498</v>
      </c>
      <c r="AG62" s="26" t="s">
        <v>138</v>
      </c>
      <c r="AH62" s="26" t="s">
        <v>29</v>
      </c>
    </row>
    <row r="63" spans="2:34" ht="18" customHeight="1" x14ac:dyDescent="0.45">
      <c r="B63" s="83"/>
      <c r="C63" s="94"/>
      <c r="D63" s="4"/>
      <c r="E63" s="5"/>
      <c r="F63" s="4" t="s">
        <v>375</v>
      </c>
      <c r="G63" s="6"/>
      <c r="H63" s="4"/>
      <c r="I63" s="6"/>
      <c r="J63" s="4"/>
      <c r="K63" s="6"/>
      <c r="L63" s="4" t="s">
        <v>263</v>
      </c>
      <c r="M63" s="6"/>
      <c r="N63" s="4" t="s">
        <v>298</v>
      </c>
      <c r="O63" s="6"/>
      <c r="P63" s="5"/>
      <c r="Q63" s="6"/>
      <c r="R63" s="89"/>
      <c r="S63" s="91"/>
      <c r="Y63" s="35" t="s">
        <v>139</v>
      </c>
      <c r="Z63" s="27" t="s">
        <v>309</v>
      </c>
      <c r="AA63" s="27" t="s">
        <v>502</v>
      </c>
      <c r="AB63" s="27" t="s">
        <v>9</v>
      </c>
      <c r="AC63" s="28" t="s">
        <v>309</v>
      </c>
      <c r="AG63" s="26" t="s">
        <v>140</v>
      </c>
      <c r="AH63" s="26" t="s">
        <v>29</v>
      </c>
    </row>
    <row r="64" spans="2:34" ht="18" customHeight="1" thickBot="1" x14ac:dyDescent="0.5">
      <c r="B64" s="84"/>
      <c r="C64" s="95"/>
      <c r="D64" s="10"/>
      <c r="E64" s="11"/>
      <c r="F64" s="10" t="s">
        <v>282</v>
      </c>
      <c r="G64" s="11" t="s">
        <v>449</v>
      </c>
      <c r="H64" s="10"/>
      <c r="I64" s="11"/>
      <c r="J64" s="10"/>
      <c r="K64" s="11"/>
      <c r="L64" s="10" t="s">
        <v>56</v>
      </c>
      <c r="M64" s="11" t="s">
        <v>251</v>
      </c>
      <c r="N64" s="10"/>
      <c r="O64" s="11"/>
      <c r="P64" s="12"/>
      <c r="Q64" s="11"/>
      <c r="R64" s="97"/>
      <c r="S64" s="99"/>
      <c r="Y64" s="35" t="s">
        <v>141</v>
      </c>
      <c r="Z64" s="27" t="s">
        <v>309</v>
      </c>
      <c r="AA64" s="27" t="s">
        <v>502</v>
      </c>
      <c r="AB64" s="27" t="s">
        <v>12</v>
      </c>
      <c r="AC64" s="28" t="s">
        <v>309</v>
      </c>
      <c r="AG64" s="26" t="s">
        <v>142</v>
      </c>
      <c r="AH64" s="26" t="s">
        <v>29</v>
      </c>
    </row>
    <row r="65" spans="2:34" ht="18" customHeight="1" x14ac:dyDescent="0.45">
      <c r="B65" s="92">
        <v>13</v>
      </c>
      <c r="C65" s="101" t="str">
        <f t="shared" ref="C65" si="10">10*B65-9&amp;"-"&amp;B65*10</f>
        <v>121-130</v>
      </c>
      <c r="D65" s="4"/>
      <c r="E65" s="5"/>
      <c r="F65" s="4"/>
      <c r="G65" s="6"/>
      <c r="H65" s="4"/>
      <c r="I65" s="6"/>
      <c r="J65" s="4"/>
      <c r="K65" s="6"/>
      <c r="L65" s="4" t="s">
        <v>435</v>
      </c>
      <c r="M65" s="6"/>
      <c r="N65" s="4" t="s">
        <v>223</v>
      </c>
      <c r="O65" s="6" t="s">
        <v>77</v>
      </c>
      <c r="P65" s="5"/>
      <c r="Q65" s="6"/>
      <c r="R65" s="103" t="s">
        <v>143</v>
      </c>
      <c r="S65" s="91">
        <v>11</v>
      </c>
      <c r="Y65" s="35" t="s">
        <v>144</v>
      </c>
      <c r="Z65" s="27" t="s">
        <v>309</v>
      </c>
      <c r="AA65" s="27" t="s">
        <v>502</v>
      </c>
      <c r="AB65" s="27" t="s">
        <v>12</v>
      </c>
      <c r="AC65" s="28" t="s">
        <v>309</v>
      </c>
      <c r="AG65" s="26" t="s">
        <v>145</v>
      </c>
      <c r="AH65" s="26" t="s">
        <v>29</v>
      </c>
    </row>
    <row r="66" spans="2:34" ht="18" customHeight="1" x14ac:dyDescent="0.45">
      <c r="B66" s="83"/>
      <c r="C66" s="86"/>
      <c r="D66" s="4" t="s">
        <v>249</v>
      </c>
      <c r="E66" s="5"/>
      <c r="F66" s="4" t="s">
        <v>416</v>
      </c>
      <c r="G66" s="6" t="s">
        <v>235</v>
      </c>
      <c r="H66" s="4"/>
      <c r="I66" s="6" t="s">
        <v>130</v>
      </c>
      <c r="J66" s="4"/>
      <c r="K66" s="6"/>
      <c r="L66" s="4" t="s">
        <v>262</v>
      </c>
      <c r="M66" s="6" t="s">
        <v>425</v>
      </c>
      <c r="N66" s="4" t="s">
        <v>439</v>
      </c>
      <c r="O66" s="6"/>
      <c r="P66" s="5"/>
      <c r="Q66" s="6"/>
      <c r="R66" s="89"/>
      <c r="S66" s="91"/>
      <c r="Y66" s="35" t="s">
        <v>146</v>
      </c>
      <c r="Z66" s="27" t="s">
        <v>309</v>
      </c>
      <c r="AA66" s="27" t="s">
        <v>502</v>
      </c>
      <c r="AB66" s="27" t="s">
        <v>503</v>
      </c>
      <c r="AC66" s="28" t="s">
        <v>498</v>
      </c>
      <c r="AG66" s="26" t="s">
        <v>147</v>
      </c>
      <c r="AH66" s="26" t="s">
        <v>29</v>
      </c>
    </row>
    <row r="67" spans="2:34" ht="18" customHeight="1" x14ac:dyDescent="0.45">
      <c r="B67" s="83"/>
      <c r="C67" s="86"/>
      <c r="D67" s="4"/>
      <c r="E67" s="5"/>
      <c r="F67" s="4" t="s">
        <v>231</v>
      </c>
      <c r="G67" s="6" t="s">
        <v>108</v>
      </c>
      <c r="H67" s="4" t="s">
        <v>358</v>
      </c>
      <c r="I67" s="6"/>
      <c r="J67" s="4"/>
      <c r="K67" s="6" t="s">
        <v>156</v>
      </c>
      <c r="L67" s="4" t="s">
        <v>239</v>
      </c>
      <c r="M67" s="6" t="s">
        <v>77</v>
      </c>
      <c r="N67" s="4" t="s">
        <v>414</v>
      </c>
      <c r="O67" s="6" t="s">
        <v>381</v>
      </c>
      <c r="P67" s="5"/>
      <c r="Q67" s="6"/>
      <c r="R67" s="89"/>
      <c r="S67" s="91"/>
      <c r="Y67" s="35" t="s">
        <v>148</v>
      </c>
      <c r="Z67" s="27" t="s">
        <v>309</v>
      </c>
      <c r="AA67" s="27" t="s">
        <v>502</v>
      </c>
      <c r="AB67" s="27" t="s">
        <v>9</v>
      </c>
      <c r="AC67" s="28" t="s">
        <v>309</v>
      </c>
      <c r="AG67" s="26" t="s">
        <v>149</v>
      </c>
      <c r="AH67" s="26" t="s">
        <v>29</v>
      </c>
    </row>
    <row r="68" spans="2:34" ht="18" customHeight="1" x14ac:dyDescent="0.45">
      <c r="B68" s="83"/>
      <c r="C68" s="86"/>
      <c r="D68" s="4" t="s">
        <v>466</v>
      </c>
      <c r="E68" s="5"/>
      <c r="F68" s="4"/>
      <c r="G68" s="6" t="s">
        <v>233</v>
      </c>
      <c r="H68" s="4" t="s">
        <v>292</v>
      </c>
      <c r="I68" s="6"/>
      <c r="J68" s="4"/>
      <c r="K68" s="6"/>
      <c r="L68" s="4" t="s">
        <v>414</v>
      </c>
      <c r="M68" s="6" t="s">
        <v>381</v>
      </c>
      <c r="N68" s="4"/>
      <c r="O68" s="6" t="s">
        <v>59</v>
      </c>
      <c r="P68" s="5" t="s">
        <v>126</v>
      </c>
      <c r="Q68" s="6"/>
      <c r="R68" s="89"/>
      <c r="S68" s="91"/>
      <c r="Y68" s="35" t="s">
        <v>150</v>
      </c>
      <c r="Z68" s="27" t="s">
        <v>309</v>
      </c>
      <c r="AA68" s="27" t="s">
        <v>502</v>
      </c>
      <c r="AB68" s="27" t="s">
        <v>9</v>
      </c>
      <c r="AC68" s="28" t="s">
        <v>309</v>
      </c>
      <c r="AG68" s="26" t="s">
        <v>151</v>
      </c>
      <c r="AH68" s="26" t="s">
        <v>29</v>
      </c>
    </row>
    <row r="69" spans="2:34" ht="18" customHeight="1" thickBot="1" x14ac:dyDescent="0.5">
      <c r="B69" s="100"/>
      <c r="C69" s="102"/>
      <c r="D69" s="13"/>
      <c r="E69" s="14"/>
      <c r="F69" s="13"/>
      <c r="G69" s="15"/>
      <c r="H69" s="13"/>
      <c r="I69" s="15"/>
      <c r="J69" s="13"/>
      <c r="K69" s="15"/>
      <c r="L69" s="13" t="s">
        <v>392</v>
      </c>
      <c r="M69" s="15" t="s">
        <v>293</v>
      </c>
      <c r="N69" s="13"/>
      <c r="O69" s="15" t="s">
        <v>122</v>
      </c>
      <c r="P69" s="14" t="s">
        <v>357</v>
      </c>
      <c r="Q69" s="15" t="s">
        <v>61</v>
      </c>
      <c r="R69" s="104"/>
      <c r="S69" s="105"/>
      <c r="Y69" s="35" t="s">
        <v>152</v>
      </c>
      <c r="Z69" s="27" t="s">
        <v>309</v>
      </c>
      <c r="AA69" s="27" t="s">
        <v>502</v>
      </c>
      <c r="AB69" s="27" t="s">
        <v>8</v>
      </c>
      <c r="AC69" s="28" t="s">
        <v>309</v>
      </c>
      <c r="AG69" s="26" t="s">
        <v>153</v>
      </c>
      <c r="AH69" s="26" t="s">
        <v>29</v>
      </c>
    </row>
    <row r="70" spans="2:34" ht="18" customHeight="1" thickBot="1" x14ac:dyDescent="0.5">
      <c r="B70" s="37"/>
      <c r="C70" s="38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8"/>
      <c r="S70" s="37"/>
      <c r="Y70" s="35" t="s">
        <v>154</v>
      </c>
      <c r="Z70" s="27" t="s">
        <v>309</v>
      </c>
      <c r="AA70" s="27" t="s">
        <v>502</v>
      </c>
      <c r="AB70" s="27" t="s">
        <v>12</v>
      </c>
      <c r="AC70" s="28" t="s">
        <v>309</v>
      </c>
      <c r="AG70" s="26" t="s">
        <v>155</v>
      </c>
      <c r="AH70" s="26" t="s">
        <v>29</v>
      </c>
    </row>
    <row r="71" spans="2:34" ht="18" customHeight="1" thickTop="1" x14ac:dyDescent="0.7">
      <c r="B71" s="39"/>
      <c r="C71" s="40"/>
      <c r="D71" s="40"/>
      <c r="E71" s="40"/>
      <c r="F71" s="41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8"/>
      <c r="S71" s="37"/>
      <c r="Y71" s="35" t="s">
        <v>156</v>
      </c>
      <c r="AA71" s="27" t="s">
        <v>502</v>
      </c>
      <c r="AB71" s="27" t="s">
        <v>11</v>
      </c>
      <c r="AC71" s="28" t="s">
        <v>309</v>
      </c>
      <c r="AG71" s="26" t="s">
        <v>157</v>
      </c>
      <c r="AH71" s="26" t="s">
        <v>29</v>
      </c>
    </row>
    <row r="72" spans="2:34" ht="38.25" customHeight="1" x14ac:dyDescent="0.45">
      <c r="B72" s="108" t="s">
        <v>158</v>
      </c>
      <c r="C72" s="109"/>
      <c r="D72" s="109"/>
      <c r="E72" s="109"/>
      <c r="F72" s="110"/>
      <c r="Y72" s="35" t="s">
        <v>159</v>
      </c>
      <c r="Z72" s="27" t="s">
        <v>309</v>
      </c>
      <c r="AA72" s="27" t="s">
        <v>502</v>
      </c>
      <c r="AB72" s="27" t="s">
        <v>9</v>
      </c>
      <c r="AC72" s="28" t="s">
        <v>309</v>
      </c>
      <c r="AG72" s="26" t="s">
        <v>160</v>
      </c>
      <c r="AH72" s="26" t="s">
        <v>29</v>
      </c>
    </row>
    <row r="73" spans="2:34" ht="31.15" thickBot="1" x14ac:dyDescent="0.5">
      <c r="B73" s="42" t="s">
        <v>161</v>
      </c>
      <c r="C73" s="16"/>
      <c r="D73" s="43" t="s">
        <v>162</v>
      </c>
      <c r="E73" s="43" t="s">
        <v>162</v>
      </c>
      <c r="F73" s="44"/>
      <c r="Y73" s="35" t="s">
        <v>163</v>
      </c>
      <c r="AA73" s="27" t="s">
        <v>502</v>
      </c>
      <c r="AB73" s="27" t="s">
        <v>13</v>
      </c>
      <c r="AC73" s="28" t="s">
        <v>309</v>
      </c>
      <c r="AG73" s="26" t="s">
        <v>164</v>
      </c>
      <c r="AH73" s="26" t="s">
        <v>29</v>
      </c>
    </row>
    <row r="74" spans="2:34" s="33" customFormat="1" ht="47.25" customHeight="1" thickTop="1" x14ac:dyDescent="0.9">
      <c r="B74" s="45" t="s">
        <v>165</v>
      </c>
      <c r="C74" s="16"/>
      <c r="D74" s="46" t="s">
        <v>166</v>
      </c>
      <c r="E74" s="46" t="s">
        <v>166</v>
      </c>
      <c r="F74" s="47"/>
      <c r="H74" s="48"/>
      <c r="I74" s="49"/>
      <c r="J74" s="49"/>
      <c r="K74" s="111" t="s">
        <v>167</v>
      </c>
      <c r="L74" s="111"/>
      <c r="M74" s="111"/>
      <c r="N74" s="111"/>
      <c r="O74" s="50"/>
      <c r="Y74" s="35" t="s">
        <v>168</v>
      </c>
      <c r="Z74" s="27" t="s">
        <v>309</v>
      </c>
      <c r="AA74" s="27" t="s">
        <v>502</v>
      </c>
      <c r="AB74" s="27" t="s">
        <v>13</v>
      </c>
      <c r="AC74" s="28" t="s">
        <v>309</v>
      </c>
      <c r="AG74" s="26" t="s">
        <v>169</v>
      </c>
      <c r="AH74" s="26" t="s">
        <v>29</v>
      </c>
    </row>
    <row r="75" spans="2:34" ht="31.15" thickBot="1" x14ac:dyDescent="0.5">
      <c r="B75" s="51" t="s">
        <v>170</v>
      </c>
      <c r="C75" s="52" t="s">
        <v>171</v>
      </c>
      <c r="D75" s="52" t="s">
        <v>172</v>
      </c>
      <c r="E75" s="52" t="s">
        <v>173</v>
      </c>
      <c r="F75" s="53" t="s">
        <v>174</v>
      </c>
      <c r="G75" s="33"/>
      <c r="H75" s="54"/>
      <c r="I75" s="52" t="s">
        <v>175</v>
      </c>
      <c r="J75" s="55" t="s">
        <v>176</v>
      </c>
      <c r="K75" s="112"/>
      <c r="L75" s="112"/>
      <c r="M75" s="112"/>
      <c r="N75" s="112"/>
      <c r="O75" s="47"/>
      <c r="P75" s="33"/>
      <c r="Q75" s="33"/>
      <c r="R75" s="33"/>
      <c r="Y75" s="35" t="s">
        <v>177</v>
      </c>
      <c r="Z75" s="27" t="s">
        <v>309</v>
      </c>
      <c r="AA75" s="27" t="s">
        <v>502</v>
      </c>
      <c r="AB75" s="27" t="s">
        <v>9</v>
      </c>
      <c r="AC75" s="28" t="s">
        <v>309</v>
      </c>
      <c r="AG75" s="26" t="s">
        <v>178</v>
      </c>
      <c r="AH75" s="26" t="s">
        <v>29</v>
      </c>
    </row>
    <row r="76" spans="2:34" ht="33.75" customHeight="1" thickBot="1" x14ac:dyDescent="0.5">
      <c r="B76" s="17"/>
      <c r="C76" s="27">
        <v>1</v>
      </c>
      <c r="D76" s="18"/>
      <c r="E76" s="19"/>
      <c r="F76" s="56">
        <f>_xlfn.XLOOKUP(D76,$Y$5:$Y$503,$AB$5:$AB$503)</f>
        <v>0</v>
      </c>
      <c r="G76" s="113" t="s">
        <v>179</v>
      </c>
      <c r="H76" s="51" t="s">
        <v>8</v>
      </c>
      <c r="I76" s="27">
        <f>COUNTIF($E$76:$E$93,H76)</f>
        <v>0</v>
      </c>
      <c r="J76" s="27">
        <f>COUNTIF($F$76:$F$93,"*FLB*")</f>
        <v>0</v>
      </c>
      <c r="K76" s="57"/>
      <c r="L76" s="106" t="str">
        <f>IFERROR(_xlfn.XLOOKUP(H76,$E$76:$E$93,D76:D93),"")</f>
        <v/>
      </c>
      <c r="M76" s="107"/>
      <c r="N76" s="36"/>
      <c r="O76" s="53" t="s">
        <v>8</v>
      </c>
      <c r="P76" s="33"/>
      <c r="Q76" s="33"/>
      <c r="R76" s="33"/>
      <c r="Y76" s="35" t="s">
        <v>180</v>
      </c>
      <c r="Z76" s="27" t="s">
        <v>309</v>
      </c>
      <c r="AA76" s="27" t="s">
        <v>502</v>
      </c>
      <c r="AB76" s="27" t="s">
        <v>13</v>
      </c>
      <c r="AC76" s="28" t="s">
        <v>309</v>
      </c>
      <c r="AG76" s="26" t="s">
        <v>181</v>
      </c>
      <c r="AH76" s="26" t="s">
        <v>29</v>
      </c>
    </row>
    <row r="77" spans="2:34" ht="33.75" customHeight="1" thickBot="1" x14ac:dyDescent="0.5">
      <c r="B77" s="59" t="str">
        <f>IF(B76="","",B76+2*($C$73-$B$76)+1)</f>
        <v/>
      </c>
      <c r="C77" s="35">
        <v>2</v>
      </c>
      <c r="D77" s="20"/>
      <c r="E77" s="21"/>
      <c r="F77" s="60">
        <f t="shared" ref="F77:F93" si="11">_xlfn.XLOOKUP(D77,$Y$5:$Y$503,$AB$5:$AB$503)</f>
        <v>0</v>
      </c>
      <c r="G77" s="114"/>
      <c r="H77" s="51" t="s">
        <v>9</v>
      </c>
      <c r="I77" s="27">
        <f>COUNTIF($E$76:$E$93,"*CTW*")</f>
        <v>0</v>
      </c>
      <c r="J77" s="27">
        <f>COUNTIF($F$76:$F$93,"*CTW*")</f>
        <v>0</v>
      </c>
      <c r="K77" s="61" t="str">
        <f>IFERROR(_xlfn.XLOOKUP("CTW 1",$E$76:$E$93,$D$76:$D$93),"")</f>
        <v/>
      </c>
      <c r="L77" s="61" t="str">
        <f>IFERROR(_xlfn.XLOOKUP("CTW 2",$E$76:$E$93,$D$76:$D$93),"")</f>
        <v/>
      </c>
      <c r="M77" s="61" t="str">
        <f>IFERROR(_xlfn.XLOOKUP("CTW 3",$E$76:$E$93,$D$76:$D$93),"")</f>
        <v/>
      </c>
      <c r="N77" s="62" t="str">
        <f>IFERROR(_xlfn.XLOOKUP("CTW 4",$E$76:$E$93,$D$76:$D$93),"")</f>
        <v/>
      </c>
      <c r="O77" s="53" t="s">
        <v>9</v>
      </c>
      <c r="P77" s="33"/>
      <c r="Q77" s="33"/>
      <c r="R77" s="33"/>
      <c r="Y77" s="35" t="s">
        <v>182</v>
      </c>
      <c r="Z77" s="27" t="s">
        <v>309</v>
      </c>
      <c r="AA77" s="27" t="s">
        <v>502</v>
      </c>
      <c r="AB77" s="27" t="s">
        <v>14</v>
      </c>
      <c r="AC77" s="28" t="s">
        <v>309</v>
      </c>
      <c r="AG77" s="26" t="s">
        <v>183</v>
      </c>
      <c r="AH77" s="26" t="s">
        <v>26</v>
      </c>
    </row>
    <row r="78" spans="2:34" ht="33.75" customHeight="1" thickBot="1" x14ac:dyDescent="0.5">
      <c r="B78" s="63" t="str">
        <f>IFERROR(B77+$B$76*2-1,"")</f>
        <v/>
      </c>
      <c r="C78" s="27">
        <v>3</v>
      </c>
      <c r="D78" s="18"/>
      <c r="E78" s="18"/>
      <c r="F78" s="56">
        <f t="shared" si="11"/>
        <v>0</v>
      </c>
      <c r="G78" s="114"/>
      <c r="H78" s="64" t="s">
        <v>10</v>
      </c>
      <c r="I78" s="27">
        <f>COUNTIF($E$76:$E$93,H78)</f>
        <v>0</v>
      </c>
      <c r="J78" s="27">
        <f>COUNTIF($F$76:$F$93,"*5-8*")</f>
        <v>0</v>
      </c>
      <c r="K78" s="65"/>
      <c r="L78" s="106" t="str">
        <f>IFERROR(_xlfn.XLOOKUP(H78,$E$76:$E$93,D76:D93),"")</f>
        <v/>
      </c>
      <c r="M78" s="107"/>
      <c r="N78" s="36"/>
      <c r="O78" s="66" t="s">
        <v>10</v>
      </c>
      <c r="P78" s="33"/>
      <c r="Q78" s="33"/>
      <c r="R78" s="33"/>
      <c r="Y78" s="35" t="s">
        <v>184</v>
      </c>
      <c r="Z78" s="27" t="s">
        <v>309</v>
      </c>
      <c r="AA78" s="27" t="s">
        <v>502</v>
      </c>
      <c r="AB78" s="27" t="s">
        <v>9</v>
      </c>
      <c r="AC78" s="28" t="s">
        <v>309</v>
      </c>
      <c r="AG78" s="26" t="s">
        <v>185</v>
      </c>
      <c r="AH78" s="26" t="s">
        <v>26</v>
      </c>
    </row>
    <row r="79" spans="2:34" ht="33.75" customHeight="1" thickBot="1" x14ac:dyDescent="0.5">
      <c r="B79" s="59" t="str">
        <f>IFERROR(B78+2*($C$73-$B$76)+1,"")</f>
        <v/>
      </c>
      <c r="C79" s="35">
        <v>4</v>
      </c>
      <c r="D79" s="20"/>
      <c r="E79" s="20"/>
      <c r="F79" s="60">
        <f t="shared" si="11"/>
        <v>0</v>
      </c>
      <c r="G79" s="114"/>
      <c r="H79" s="51" t="s">
        <v>11</v>
      </c>
      <c r="I79" s="27">
        <f>COUNTIF($E$76:$E$93,H79)</f>
        <v>0</v>
      </c>
      <c r="J79" s="27">
        <f>COUNTIF($F$76:$F$93,"*HFB*")</f>
        <v>0</v>
      </c>
      <c r="K79" s="67"/>
      <c r="L79" s="106" t="str">
        <f>IFERROR(_xlfn.XLOOKUP(H79,$E$76:$E$93,D76:D93),"")</f>
        <v/>
      </c>
      <c r="M79" s="107"/>
      <c r="N79" s="36"/>
      <c r="O79" s="53" t="s">
        <v>11</v>
      </c>
      <c r="P79" s="33"/>
      <c r="Q79" s="33"/>
      <c r="R79" s="33"/>
      <c r="Y79" s="35" t="s">
        <v>186</v>
      </c>
      <c r="Z79" s="27" t="s">
        <v>309</v>
      </c>
      <c r="AA79" s="27" t="s">
        <v>502</v>
      </c>
      <c r="AB79" s="27" t="s">
        <v>9</v>
      </c>
      <c r="AC79" s="28" t="s">
        <v>309</v>
      </c>
      <c r="AG79" s="26" t="s">
        <v>187</v>
      </c>
      <c r="AH79" s="26" t="s">
        <v>26</v>
      </c>
    </row>
    <row r="80" spans="2:34" ht="33.75" customHeight="1" thickBot="1" x14ac:dyDescent="0.5">
      <c r="B80" s="63" t="str">
        <f>IFERROR(B79+$B$76*2-1,"")</f>
        <v/>
      </c>
      <c r="C80" s="27">
        <v>5</v>
      </c>
      <c r="D80" s="18"/>
      <c r="E80" s="18"/>
      <c r="F80" s="56">
        <f t="shared" si="11"/>
        <v>0</v>
      </c>
      <c r="G80" s="114"/>
      <c r="H80" s="51" t="s">
        <v>14</v>
      </c>
      <c r="I80" s="27">
        <f t="shared" ref="I80:I83" si="12">COUNTIF($E$76:$E$93,H80)</f>
        <v>0</v>
      </c>
      <c r="J80" s="27">
        <f>COUNTIF($F$76:$F$93,"*HOK*")</f>
        <v>0</v>
      </c>
      <c r="K80" s="57"/>
      <c r="L80" s="106" t="str">
        <f>IFERROR(_xlfn.XLOOKUP(H80,$E$76:$E$93,D76:D93),"")</f>
        <v/>
      </c>
      <c r="M80" s="107"/>
      <c r="N80" s="36"/>
      <c r="O80" s="53" t="s">
        <v>14</v>
      </c>
      <c r="P80" s="33"/>
      <c r="Q80" s="33"/>
      <c r="R80" s="33"/>
      <c r="Y80" s="35" t="s">
        <v>188</v>
      </c>
      <c r="Z80" s="27" t="s">
        <v>309</v>
      </c>
      <c r="AA80" s="27" t="s">
        <v>502</v>
      </c>
      <c r="AB80" s="27" t="s">
        <v>12</v>
      </c>
      <c r="AC80" s="28" t="s">
        <v>309</v>
      </c>
      <c r="AG80" s="26" t="s">
        <v>189</v>
      </c>
      <c r="AH80" s="26" t="s">
        <v>26</v>
      </c>
    </row>
    <row r="81" spans="2:34" ht="33.75" customHeight="1" thickBot="1" x14ac:dyDescent="0.5">
      <c r="B81" s="59" t="str">
        <f>IFERROR(B80+2*($C$73-$B$76)+1,"")</f>
        <v/>
      </c>
      <c r="C81" s="35">
        <v>6</v>
      </c>
      <c r="D81" s="20"/>
      <c r="E81" s="20"/>
      <c r="F81" s="60">
        <f t="shared" si="11"/>
        <v>0</v>
      </c>
      <c r="G81" s="114"/>
      <c r="H81" s="51" t="s">
        <v>12</v>
      </c>
      <c r="I81" s="27">
        <f>COUNTIF($E$76:$E$93,"*2RF*")</f>
        <v>0</v>
      </c>
      <c r="J81" s="27">
        <f>COUNTIF($F$76:$F$93,"*2RF*")</f>
        <v>0</v>
      </c>
      <c r="K81" s="61" t="str">
        <f>IFERROR(_xlfn.XLOOKUP("2RF 1",$E$76:$E$93,$D$76:$D$93),"")</f>
        <v/>
      </c>
      <c r="L81" s="115" t="str">
        <f>IFERROR(_xlfn.XLOOKUP("2RF 2",$E$76:$E$93,$D$76:$D$93),"")</f>
        <v/>
      </c>
      <c r="M81" s="116"/>
      <c r="N81" s="65" t="str">
        <f>IFERROR(_xlfn.XLOOKUP("2RF 3",$E$76:$E$93,$D$76:$D$93),"")</f>
        <v/>
      </c>
      <c r="O81" s="53" t="s">
        <v>12</v>
      </c>
      <c r="P81" s="33"/>
      <c r="Q81" s="33"/>
      <c r="R81" s="33"/>
      <c r="Y81" s="35" t="s">
        <v>190</v>
      </c>
      <c r="Z81" s="27" t="s">
        <v>309</v>
      </c>
      <c r="AA81" s="27" t="s">
        <v>502</v>
      </c>
      <c r="AB81" s="27" t="s">
        <v>9</v>
      </c>
      <c r="AC81" s="28" t="s">
        <v>309</v>
      </c>
      <c r="AG81" s="26" t="s">
        <v>191</v>
      </c>
      <c r="AH81" s="26" t="s">
        <v>26</v>
      </c>
    </row>
    <row r="82" spans="2:34" ht="33.75" customHeight="1" thickBot="1" x14ac:dyDescent="0.5">
      <c r="B82" s="63" t="str">
        <f>IFERROR(B81+$B$76*2-1,"")</f>
        <v/>
      </c>
      <c r="C82" s="27">
        <v>7</v>
      </c>
      <c r="D82" s="18"/>
      <c r="E82" s="19"/>
      <c r="F82" s="56">
        <f>_xlfn.XLOOKUP(D82,$Y$5:$Y$503,$AB$5:$AB$503)</f>
        <v>0</v>
      </c>
      <c r="G82" s="114"/>
      <c r="H82" s="51" t="s">
        <v>13</v>
      </c>
      <c r="I82" s="27">
        <f>COUNTIF($E$76:$E$93,"*FRF*")</f>
        <v>0</v>
      </c>
      <c r="J82" s="27">
        <f>COUNTIF($F$76:$F$93,"*FRF*")</f>
        <v>0</v>
      </c>
      <c r="K82" s="106" t="str">
        <f>IFERROR(_xlfn.XLOOKUP("FRF 1",$E$76:$E$93,$D$76:$D$93),"")</f>
        <v/>
      </c>
      <c r="L82" s="107"/>
      <c r="M82" s="106" t="str">
        <f>IFERROR(_xlfn.XLOOKUP("FRF 2",$E$76:$E$93,$D$76:$D$93),"")</f>
        <v/>
      </c>
      <c r="N82" s="107"/>
      <c r="O82" s="53" t="s">
        <v>13</v>
      </c>
      <c r="P82" s="33"/>
      <c r="Q82" s="33"/>
      <c r="R82" s="33"/>
      <c r="Y82" s="35" t="s">
        <v>192</v>
      </c>
      <c r="Z82" s="27" t="s">
        <v>309</v>
      </c>
      <c r="AA82" s="27" t="s">
        <v>502</v>
      </c>
      <c r="AB82" s="27" t="s">
        <v>14</v>
      </c>
      <c r="AC82" s="28" t="s">
        <v>309</v>
      </c>
      <c r="AG82" s="26" t="s">
        <v>193</v>
      </c>
      <c r="AH82" s="26" t="s">
        <v>26</v>
      </c>
    </row>
    <row r="83" spans="2:34" ht="33.75" customHeight="1" thickBot="1" x14ac:dyDescent="0.5">
      <c r="B83" s="59" t="str">
        <f>IFERROR(B82+2*($C$73-$B$76)+1,"")</f>
        <v/>
      </c>
      <c r="C83" s="35">
        <v>8</v>
      </c>
      <c r="D83" s="20"/>
      <c r="E83" s="20"/>
      <c r="F83" s="60">
        <f t="shared" si="11"/>
        <v>0</v>
      </c>
      <c r="G83" s="33"/>
      <c r="H83" s="51" t="s">
        <v>194</v>
      </c>
      <c r="I83" s="27">
        <f t="shared" si="12"/>
        <v>0</v>
      </c>
      <c r="J83" s="35"/>
      <c r="K83" s="58"/>
      <c r="L83" s="106" t="str">
        <f>IFERROR(_xlfn.XLOOKUP(H83,$E$76:$E$93,D76:D93),"")</f>
        <v/>
      </c>
      <c r="M83" s="107"/>
      <c r="N83" s="36"/>
      <c r="O83" s="53" t="s">
        <v>194</v>
      </c>
      <c r="P83" s="33"/>
      <c r="Q83" s="33"/>
      <c r="R83" s="33"/>
      <c r="Y83" s="35" t="s">
        <v>195</v>
      </c>
      <c r="Z83" s="27" t="s">
        <v>309</v>
      </c>
      <c r="AA83" s="27" t="s">
        <v>502</v>
      </c>
      <c r="AB83" s="27" t="s">
        <v>504</v>
      </c>
      <c r="AC83" s="28" t="s">
        <v>498</v>
      </c>
      <c r="AG83" s="26" t="s">
        <v>196</v>
      </c>
      <c r="AH83" s="26" t="s">
        <v>26</v>
      </c>
    </row>
    <row r="84" spans="2:34" ht="33.75" customHeight="1" thickBot="1" x14ac:dyDescent="0.5">
      <c r="B84" s="63" t="str">
        <f>IFERROR(B83+$B$76*2-1,"")</f>
        <v/>
      </c>
      <c r="C84" s="27">
        <v>9</v>
      </c>
      <c r="D84" s="18"/>
      <c r="E84" s="18"/>
      <c r="F84" s="56">
        <f t="shared" si="11"/>
        <v>0</v>
      </c>
      <c r="G84" s="33"/>
      <c r="H84" s="51" t="s">
        <v>197</v>
      </c>
      <c r="I84" s="27">
        <f>COUNTIF($E$76:$E$93,"*BENCH*")</f>
        <v>0</v>
      </c>
      <c r="J84" s="35"/>
      <c r="K84" s="62" t="str">
        <f>IFERROR(_xlfn.XLOOKUP("BENCH 1",$E$76:$E$93,$D$76:$D$93),"")</f>
        <v/>
      </c>
      <c r="L84" s="68" t="str">
        <f>IFERROR(_xlfn.XLOOKUP("BENCH 2",$E$76:$E$93,$D$76:$D$93),"")</f>
        <v/>
      </c>
      <c r="M84" s="68" t="str">
        <f>IFERROR(_xlfn.XLOOKUP("BENCH 3",$E$76:$E$93,$D$76:$D$93),"")</f>
        <v/>
      </c>
      <c r="N84" s="62" t="str">
        <f>IFERROR(_xlfn.XLOOKUP("BENCH 4",$E$76:$E$93,$D$76:$D$93),"")</f>
        <v/>
      </c>
      <c r="O84" s="53" t="s">
        <v>197</v>
      </c>
      <c r="P84" s="33"/>
      <c r="Q84" s="33"/>
      <c r="R84" s="33"/>
      <c r="Y84" s="35" t="s">
        <v>198</v>
      </c>
      <c r="Z84" s="27" t="s">
        <v>309</v>
      </c>
      <c r="AA84" s="27" t="s">
        <v>502</v>
      </c>
      <c r="AB84" s="27" t="s">
        <v>9</v>
      </c>
      <c r="AC84" s="28" t="s">
        <v>309</v>
      </c>
      <c r="AG84" s="26" t="s">
        <v>199</v>
      </c>
      <c r="AH84" s="26" t="s">
        <v>26</v>
      </c>
    </row>
    <row r="85" spans="2:34" ht="33.75" customHeight="1" thickBot="1" x14ac:dyDescent="0.5">
      <c r="B85" s="59" t="str">
        <f>IFERROR(B84+2*($C$73-$B$76)+1,"")</f>
        <v/>
      </c>
      <c r="C85" s="35">
        <v>10</v>
      </c>
      <c r="D85" s="20"/>
      <c r="E85" s="20"/>
      <c r="F85" s="60">
        <f t="shared" si="11"/>
        <v>0</v>
      </c>
      <c r="G85" s="33"/>
      <c r="H85" s="69"/>
      <c r="I85" s="70"/>
      <c r="J85" s="70"/>
      <c r="K85" s="70"/>
      <c r="L85" s="70"/>
      <c r="M85" s="70"/>
      <c r="N85" s="70"/>
      <c r="O85" s="71"/>
      <c r="P85" s="33"/>
      <c r="Q85" s="33"/>
      <c r="R85" s="33"/>
      <c r="Y85" s="35" t="s">
        <v>200</v>
      </c>
      <c r="Z85" s="27" t="s">
        <v>309</v>
      </c>
      <c r="AA85" s="27" t="s">
        <v>502</v>
      </c>
      <c r="AB85" s="27" t="s">
        <v>13</v>
      </c>
      <c r="AC85" s="28" t="s">
        <v>309</v>
      </c>
      <c r="AG85" s="26" t="s">
        <v>201</v>
      </c>
      <c r="AH85" s="26" t="s">
        <v>26</v>
      </c>
    </row>
    <row r="86" spans="2:34" ht="33.75" customHeight="1" thickTop="1" x14ac:dyDescent="0.45">
      <c r="B86" s="63" t="str">
        <f>IFERROR(B85+$B$76*2-1,"")</f>
        <v/>
      </c>
      <c r="C86" s="27">
        <v>11</v>
      </c>
      <c r="D86" s="18"/>
      <c r="E86" s="18"/>
      <c r="F86" s="56">
        <f t="shared" si="11"/>
        <v>0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Y86" s="35" t="s">
        <v>202</v>
      </c>
      <c r="Z86" s="27" t="s">
        <v>309</v>
      </c>
      <c r="AA86" s="27" t="s">
        <v>502</v>
      </c>
      <c r="AB86" s="27" t="s">
        <v>10</v>
      </c>
      <c r="AC86" s="28" t="s">
        <v>309</v>
      </c>
      <c r="AG86" s="26" t="s">
        <v>203</v>
      </c>
      <c r="AH86" s="26" t="s">
        <v>26</v>
      </c>
    </row>
    <row r="87" spans="2:34" ht="33.75" customHeight="1" x14ac:dyDescent="0.45">
      <c r="B87" s="59" t="str">
        <f>IFERROR(B86+2*($C$73-$B$76)+1,"")</f>
        <v/>
      </c>
      <c r="C87" s="35">
        <v>12</v>
      </c>
      <c r="D87" s="20"/>
      <c r="E87" s="20"/>
      <c r="F87" s="60">
        <f t="shared" si="11"/>
        <v>0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Y87" s="35" t="s">
        <v>204</v>
      </c>
      <c r="Z87" s="27" t="s">
        <v>309</v>
      </c>
      <c r="AA87" s="27" t="s">
        <v>502</v>
      </c>
      <c r="AB87" s="27" t="s">
        <v>11</v>
      </c>
      <c r="AC87" s="28" t="s">
        <v>309</v>
      </c>
      <c r="AG87" s="26" t="s">
        <v>205</v>
      </c>
      <c r="AH87" s="26" t="s">
        <v>26</v>
      </c>
    </row>
    <row r="88" spans="2:34" ht="33.75" customHeight="1" x14ac:dyDescent="0.45">
      <c r="B88" s="63" t="str">
        <f>IFERROR(B87+$B$76*2-1,"")</f>
        <v/>
      </c>
      <c r="C88" s="27">
        <v>13</v>
      </c>
      <c r="D88" s="18"/>
      <c r="E88" s="18"/>
      <c r="F88" s="56">
        <f t="shared" si="11"/>
        <v>0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Y88" s="35" t="s">
        <v>206</v>
      </c>
      <c r="Z88" s="27" t="s">
        <v>309</v>
      </c>
      <c r="AA88" s="27" t="s">
        <v>502</v>
      </c>
      <c r="AB88" s="27" t="s">
        <v>9</v>
      </c>
      <c r="AC88" s="28" t="s">
        <v>309</v>
      </c>
      <c r="AG88" s="26" t="s">
        <v>207</v>
      </c>
      <c r="AH88" s="26" t="s">
        <v>26</v>
      </c>
    </row>
    <row r="89" spans="2:34" ht="33.75" customHeight="1" x14ac:dyDescent="0.45">
      <c r="B89" s="59" t="str">
        <f>IFERROR(B88+2*($C$73-$B$76)+1,"")</f>
        <v/>
      </c>
      <c r="C89" s="35">
        <v>14</v>
      </c>
      <c r="D89" s="20"/>
      <c r="E89" s="20"/>
      <c r="F89" s="60">
        <f t="shared" si="11"/>
        <v>0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Y89" s="35" t="s">
        <v>140</v>
      </c>
      <c r="Z89" s="27" t="s">
        <v>29</v>
      </c>
      <c r="AA89" s="27" t="s">
        <v>505</v>
      </c>
      <c r="AB89" s="27" t="s">
        <v>12</v>
      </c>
      <c r="AC89" s="28" t="s">
        <v>309</v>
      </c>
      <c r="AG89" s="26" t="s">
        <v>208</v>
      </c>
      <c r="AH89" s="26" t="s">
        <v>26</v>
      </c>
    </row>
    <row r="90" spans="2:34" ht="33.75" customHeight="1" x14ac:dyDescent="0.45">
      <c r="B90" s="63" t="str">
        <f>IFERROR(B89+$B$76*2-1,"")</f>
        <v/>
      </c>
      <c r="C90" s="27">
        <v>15</v>
      </c>
      <c r="D90" s="18"/>
      <c r="E90" s="18"/>
      <c r="F90" s="56">
        <f t="shared" si="11"/>
        <v>0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Y90" s="27" t="s">
        <v>120</v>
      </c>
      <c r="Z90" s="27" t="s">
        <v>29</v>
      </c>
      <c r="AA90" s="27" t="s">
        <v>505</v>
      </c>
      <c r="AB90" s="27" t="s">
        <v>9</v>
      </c>
      <c r="AC90" s="28" t="s">
        <v>309</v>
      </c>
      <c r="AG90" s="26" t="s">
        <v>209</v>
      </c>
      <c r="AH90" s="26" t="s">
        <v>26</v>
      </c>
    </row>
    <row r="91" spans="2:34" ht="33.75" customHeight="1" x14ac:dyDescent="0.45">
      <c r="B91" s="59" t="str">
        <f>IFERROR(B90+2*($C$73-$B$76)+1,"")</f>
        <v/>
      </c>
      <c r="C91" s="35">
        <v>16</v>
      </c>
      <c r="D91" s="20"/>
      <c r="E91" s="20"/>
      <c r="F91" s="60">
        <f t="shared" si="11"/>
        <v>0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Y91" s="27" t="s">
        <v>169</v>
      </c>
      <c r="Z91" s="27" t="s">
        <v>29</v>
      </c>
      <c r="AA91" s="27" t="s">
        <v>505</v>
      </c>
      <c r="AB91" s="27" t="s">
        <v>499</v>
      </c>
      <c r="AC91" s="28" t="s">
        <v>498</v>
      </c>
      <c r="AG91" s="26" t="s">
        <v>210</v>
      </c>
      <c r="AH91" s="26" t="s">
        <v>26</v>
      </c>
    </row>
    <row r="92" spans="2:34" ht="33.75" customHeight="1" x14ac:dyDescent="0.45">
      <c r="B92" s="63" t="str">
        <f>IFERROR(B91+$B$76*2-1,"")</f>
        <v/>
      </c>
      <c r="C92" s="27">
        <v>17</v>
      </c>
      <c r="D92" s="18"/>
      <c r="E92" s="18"/>
      <c r="F92" s="56">
        <f t="shared" si="11"/>
        <v>0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Y92" s="27" t="s">
        <v>130</v>
      </c>
      <c r="Z92" s="27" t="s">
        <v>29</v>
      </c>
      <c r="AA92" s="27" t="s">
        <v>505</v>
      </c>
      <c r="AB92" s="27" t="s">
        <v>10</v>
      </c>
      <c r="AC92" s="28" t="s">
        <v>309</v>
      </c>
      <c r="AG92" s="26" t="s">
        <v>211</v>
      </c>
      <c r="AH92" s="26" t="s">
        <v>26</v>
      </c>
    </row>
    <row r="93" spans="2:34" ht="34.5" customHeight="1" x14ac:dyDescent="0.45">
      <c r="B93" s="59" t="str">
        <f>IFERROR(B92+2*($C$73-$B$76)+1,"")</f>
        <v/>
      </c>
      <c r="C93" s="35">
        <v>18</v>
      </c>
      <c r="D93" s="20"/>
      <c r="E93" s="20"/>
      <c r="F93" s="60">
        <f t="shared" si="11"/>
        <v>0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Y93" s="27" t="s">
        <v>151</v>
      </c>
      <c r="Z93" s="27" t="s">
        <v>29</v>
      </c>
      <c r="AA93" s="27" t="s">
        <v>505</v>
      </c>
      <c r="AB93" s="27" t="s">
        <v>12</v>
      </c>
      <c r="AC93" s="28" t="s">
        <v>309</v>
      </c>
      <c r="AG93" s="26" t="s">
        <v>212</v>
      </c>
      <c r="AH93" s="26" t="s">
        <v>26</v>
      </c>
    </row>
    <row r="94" spans="2:34" ht="25.5" thickBot="1" x14ac:dyDescent="0.75">
      <c r="B94" s="72"/>
      <c r="C94" s="70"/>
      <c r="D94" s="73"/>
      <c r="E94" s="73"/>
      <c r="F94" s="71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Y94" s="27" t="s">
        <v>160</v>
      </c>
      <c r="Z94" s="27" t="s">
        <v>29</v>
      </c>
      <c r="AA94" s="27" t="s">
        <v>505</v>
      </c>
      <c r="AB94" s="27" t="s">
        <v>11</v>
      </c>
      <c r="AC94" s="28" t="s">
        <v>309</v>
      </c>
      <c r="AG94" s="26" t="s">
        <v>213</v>
      </c>
      <c r="AH94" s="26" t="s">
        <v>26</v>
      </c>
    </row>
    <row r="95" spans="2:34" ht="25.5" thickTop="1" x14ac:dyDescent="0.7"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Y95" s="27" t="s">
        <v>153</v>
      </c>
      <c r="Z95" s="27" t="s">
        <v>29</v>
      </c>
      <c r="AA95" s="27" t="s">
        <v>505</v>
      </c>
      <c r="AB95" s="27" t="s">
        <v>9</v>
      </c>
      <c r="AC95" s="28" t="s">
        <v>309</v>
      </c>
      <c r="AG95" s="26" t="s">
        <v>214</v>
      </c>
      <c r="AH95" s="26" t="s">
        <v>26</v>
      </c>
    </row>
    <row r="96" spans="2:34" x14ac:dyDescent="0.7"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Y96" s="27" t="s">
        <v>157</v>
      </c>
      <c r="Z96" s="27" t="s">
        <v>29</v>
      </c>
      <c r="AA96" s="27" t="s">
        <v>505</v>
      </c>
      <c r="AB96" s="27" t="s">
        <v>8</v>
      </c>
      <c r="AC96" s="28" t="s">
        <v>309</v>
      </c>
      <c r="AG96" s="26" t="s">
        <v>215</v>
      </c>
      <c r="AH96" s="26" t="s">
        <v>26</v>
      </c>
    </row>
    <row r="97" spans="3:34" x14ac:dyDescent="0.7"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Y97" s="27" t="s">
        <v>126</v>
      </c>
      <c r="Z97" s="27" t="s">
        <v>29</v>
      </c>
      <c r="AA97" s="27" t="s">
        <v>505</v>
      </c>
      <c r="AB97" s="27" t="s">
        <v>503</v>
      </c>
      <c r="AC97" s="28" t="s">
        <v>498</v>
      </c>
      <c r="AG97" s="26" t="s">
        <v>216</v>
      </c>
      <c r="AH97" s="26" t="s">
        <v>26</v>
      </c>
    </row>
    <row r="98" spans="3:34" x14ac:dyDescent="0.7"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Y98" s="27" t="s">
        <v>122</v>
      </c>
      <c r="Z98" s="27" t="s">
        <v>29</v>
      </c>
      <c r="AA98" s="27" t="s">
        <v>505</v>
      </c>
      <c r="AB98" s="27" t="s">
        <v>497</v>
      </c>
      <c r="AC98" s="28" t="s">
        <v>498</v>
      </c>
      <c r="AG98" s="26" t="s">
        <v>217</v>
      </c>
      <c r="AH98" s="26" t="s">
        <v>26</v>
      </c>
    </row>
    <row r="99" spans="3:34" x14ac:dyDescent="0.7"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Y99" s="27" t="s">
        <v>218</v>
      </c>
      <c r="Z99" s="27" t="s">
        <v>309</v>
      </c>
      <c r="AA99" s="27">
        <v>0</v>
      </c>
      <c r="AB99" s="27" t="s">
        <v>503</v>
      </c>
      <c r="AC99" s="28" t="s">
        <v>498</v>
      </c>
      <c r="AG99" s="26" t="s">
        <v>219</v>
      </c>
      <c r="AH99" s="26" t="s">
        <v>26</v>
      </c>
    </row>
    <row r="100" spans="3:34" x14ac:dyDescent="0.7"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Y100" s="27" t="s">
        <v>181</v>
      </c>
      <c r="Z100" s="27" t="s">
        <v>29</v>
      </c>
      <c r="AA100" s="27" t="s">
        <v>505</v>
      </c>
      <c r="AB100" s="27" t="s">
        <v>9</v>
      </c>
      <c r="AC100" s="28" t="s">
        <v>309</v>
      </c>
      <c r="AG100" s="26" t="s">
        <v>220</v>
      </c>
      <c r="AH100" s="26" t="s">
        <v>26</v>
      </c>
    </row>
    <row r="101" spans="3:34" x14ac:dyDescent="0.7"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Y101" s="27" t="s">
        <v>128</v>
      </c>
      <c r="Z101" s="27" t="s">
        <v>29</v>
      </c>
      <c r="AA101" s="27" t="s">
        <v>505</v>
      </c>
      <c r="AB101" s="27" t="s">
        <v>12</v>
      </c>
      <c r="AC101" s="28" t="s">
        <v>309</v>
      </c>
      <c r="AG101" s="26" t="s">
        <v>221</v>
      </c>
      <c r="AH101" s="26" t="s">
        <v>23</v>
      </c>
    </row>
    <row r="102" spans="3:34" x14ac:dyDescent="0.7"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Y102" s="27" t="s">
        <v>149</v>
      </c>
      <c r="Z102" s="27" t="s">
        <v>29</v>
      </c>
      <c r="AA102" s="27" t="s">
        <v>505</v>
      </c>
      <c r="AB102" s="27" t="s">
        <v>14</v>
      </c>
      <c r="AC102" s="28" t="s">
        <v>309</v>
      </c>
      <c r="AG102" s="26" t="s">
        <v>222</v>
      </c>
      <c r="AH102" s="26" t="s">
        <v>23</v>
      </c>
    </row>
    <row r="103" spans="3:34" x14ac:dyDescent="0.7"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Y103" s="27" t="s">
        <v>155</v>
      </c>
      <c r="Z103" s="27" t="s">
        <v>29</v>
      </c>
      <c r="AA103" s="27" t="s">
        <v>505</v>
      </c>
      <c r="AB103" s="27" t="s">
        <v>497</v>
      </c>
      <c r="AC103" s="28" t="s">
        <v>498</v>
      </c>
      <c r="AG103" s="26" t="s">
        <v>223</v>
      </c>
      <c r="AH103" s="26" t="s">
        <v>23</v>
      </c>
    </row>
    <row r="104" spans="3:34" x14ac:dyDescent="0.7"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Y104" s="27" t="s">
        <v>164</v>
      </c>
      <c r="Z104" s="27" t="s">
        <v>29</v>
      </c>
      <c r="AA104" s="27" t="s">
        <v>505</v>
      </c>
      <c r="AB104" s="27" t="s">
        <v>13</v>
      </c>
      <c r="AC104" s="28" t="s">
        <v>309</v>
      </c>
      <c r="AG104" s="26" t="s">
        <v>224</v>
      </c>
      <c r="AH104" s="26" t="s">
        <v>23</v>
      </c>
    </row>
    <row r="105" spans="3:34" x14ac:dyDescent="0.7"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Y105" s="27" t="s">
        <v>138</v>
      </c>
      <c r="Z105" s="27" t="s">
        <v>29</v>
      </c>
      <c r="AA105" s="27" t="s">
        <v>505</v>
      </c>
      <c r="AB105" s="27" t="s">
        <v>12</v>
      </c>
      <c r="AC105" s="28" t="s">
        <v>309</v>
      </c>
      <c r="AG105" s="26" t="s">
        <v>225</v>
      </c>
      <c r="AH105" s="26" t="s">
        <v>23</v>
      </c>
    </row>
    <row r="106" spans="3:34" x14ac:dyDescent="0.7"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Y106" s="27" t="s">
        <v>124</v>
      </c>
      <c r="Z106" s="27" t="s">
        <v>29</v>
      </c>
      <c r="AA106" s="27" t="s">
        <v>505</v>
      </c>
      <c r="AB106" s="27" t="s">
        <v>13</v>
      </c>
      <c r="AC106" s="28" t="s">
        <v>309</v>
      </c>
      <c r="AG106" s="26" t="s">
        <v>226</v>
      </c>
      <c r="AH106" s="26" t="s">
        <v>23</v>
      </c>
    </row>
    <row r="107" spans="3:34" x14ac:dyDescent="0.7"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Y107" s="27" t="s">
        <v>142</v>
      </c>
      <c r="Z107" s="27" t="s">
        <v>29</v>
      </c>
      <c r="AA107" s="27" t="s">
        <v>505</v>
      </c>
      <c r="AB107" s="27" t="s">
        <v>12</v>
      </c>
      <c r="AC107" s="28" t="s">
        <v>309</v>
      </c>
      <c r="AG107" s="26" t="s">
        <v>227</v>
      </c>
      <c r="AH107" s="26" t="s">
        <v>23</v>
      </c>
    </row>
    <row r="108" spans="3:34" x14ac:dyDescent="0.7"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Y108" s="27" t="s">
        <v>136</v>
      </c>
      <c r="Z108" s="27" t="s">
        <v>29</v>
      </c>
      <c r="AA108" s="27" t="s">
        <v>505</v>
      </c>
      <c r="AB108" s="27" t="s">
        <v>9</v>
      </c>
      <c r="AC108" s="28" t="s">
        <v>309</v>
      </c>
      <c r="AG108" s="26" t="s">
        <v>228</v>
      </c>
      <c r="AH108" s="26" t="s">
        <v>23</v>
      </c>
    </row>
    <row r="109" spans="3:34" x14ac:dyDescent="0.7"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Y109" s="27" t="s">
        <v>134</v>
      </c>
      <c r="Z109" s="27" t="s">
        <v>29</v>
      </c>
      <c r="AA109" s="27" t="s">
        <v>505</v>
      </c>
      <c r="AB109" s="27" t="s">
        <v>506</v>
      </c>
      <c r="AC109" s="28" t="s">
        <v>498</v>
      </c>
      <c r="AG109" s="26" t="s">
        <v>229</v>
      </c>
      <c r="AH109" s="26" t="s">
        <v>23</v>
      </c>
    </row>
    <row r="110" spans="3:34" x14ac:dyDescent="0.7"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Y110" s="27" t="s">
        <v>147</v>
      </c>
      <c r="Z110" s="27" t="s">
        <v>29</v>
      </c>
      <c r="AA110" s="27" t="s">
        <v>505</v>
      </c>
      <c r="AB110" s="27" t="s">
        <v>9</v>
      </c>
      <c r="AC110" s="28" t="s">
        <v>309</v>
      </c>
      <c r="AG110" s="26" t="s">
        <v>230</v>
      </c>
      <c r="AH110" s="26" t="s">
        <v>23</v>
      </c>
    </row>
    <row r="111" spans="3:34" x14ac:dyDescent="0.7"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Y111" s="27" t="s">
        <v>132</v>
      </c>
      <c r="Z111" s="27" t="s">
        <v>29</v>
      </c>
      <c r="AA111" s="27" t="s">
        <v>505</v>
      </c>
      <c r="AB111" s="27" t="s">
        <v>13</v>
      </c>
      <c r="AC111" s="28" t="s">
        <v>309</v>
      </c>
      <c r="AG111" s="26" t="s">
        <v>231</v>
      </c>
      <c r="AH111" s="26" t="s">
        <v>23</v>
      </c>
    </row>
    <row r="112" spans="3:34" x14ac:dyDescent="0.7"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Y112" s="35" t="s">
        <v>178</v>
      </c>
      <c r="Z112" s="27" t="s">
        <v>29</v>
      </c>
      <c r="AA112" s="27" t="s">
        <v>505</v>
      </c>
      <c r="AB112" s="27" t="s">
        <v>9</v>
      </c>
      <c r="AC112" s="28" t="s">
        <v>309</v>
      </c>
      <c r="AG112" s="26" t="s">
        <v>232</v>
      </c>
      <c r="AH112" s="26" t="s">
        <v>23</v>
      </c>
    </row>
    <row r="113" spans="3:34" x14ac:dyDescent="0.7"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Y113" s="35" t="s">
        <v>233</v>
      </c>
      <c r="Z113" s="27" t="s">
        <v>309</v>
      </c>
      <c r="AA113" s="27" t="s">
        <v>507</v>
      </c>
      <c r="AB113" s="27" t="s">
        <v>9</v>
      </c>
      <c r="AC113" s="28" t="s">
        <v>309</v>
      </c>
      <c r="AG113" s="26" t="s">
        <v>234</v>
      </c>
      <c r="AH113" s="26" t="s">
        <v>23</v>
      </c>
    </row>
    <row r="114" spans="3:34" x14ac:dyDescent="0.7"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Y114" s="35" t="s">
        <v>235</v>
      </c>
      <c r="Z114" s="27" t="s">
        <v>309</v>
      </c>
      <c r="AA114" s="27" t="s">
        <v>507</v>
      </c>
      <c r="AB114" s="27" t="s">
        <v>9</v>
      </c>
      <c r="AC114" s="28" t="s">
        <v>309</v>
      </c>
      <c r="AG114" s="26" t="s">
        <v>236</v>
      </c>
      <c r="AH114" s="26" t="s">
        <v>23</v>
      </c>
    </row>
    <row r="115" spans="3:34" x14ac:dyDescent="0.7"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Y115" s="35" t="s">
        <v>237</v>
      </c>
      <c r="Z115" s="27" t="s">
        <v>309</v>
      </c>
      <c r="AA115" s="27" t="s">
        <v>507</v>
      </c>
      <c r="AB115" s="27" t="s">
        <v>9</v>
      </c>
      <c r="AC115" s="28" t="s">
        <v>309</v>
      </c>
      <c r="AG115" s="26" t="s">
        <v>238</v>
      </c>
      <c r="AH115" s="26" t="s">
        <v>23</v>
      </c>
    </row>
    <row r="116" spans="3:34" x14ac:dyDescent="0.7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Y116" s="35" t="s">
        <v>239</v>
      </c>
      <c r="Z116" s="27" t="s">
        <v>309</v>
      </c>
      <c r="AA116" s="27" t="s">
        <v>507</v>
      </c>
      <c r="AB116" s="27" t="s">
        <v>12</v>
      </c>
      <c r="AC116" s="28" t="s">
        <v>309</v>
      </c>
      <c r="AG116" s="26" t="s">
        <v>240</v>
      </c>
      <c r="AH116" s="26" t="s">
        <v>23</v>
      </c>
    </row>
    <row r="117" spans="3:34" x14ac:dyDescent="0.7"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Y117" s="35" t="s">
        <v>241</v>
      </c>
      <c r="Z117" s="27" t="s">
        <v>309</v>
      </c>
      <c r="AA117" s="27" t="s">
        <v>507</v>
      </c>
      <c r="AB117" s="27" t="s">
        <v>9</v>
      </c>
      <c r="AC117" s="28" t="s">
        <v>309</v>
      </c>
      <c r="AG117" s="26" t="s">
        <v>242</v>
      </c>
      <c r="AH117" s="26" t="s">
        <v>23</v>
      </c>
    </row>
    <row r="118" spans="3:34" x14ac:dyDescent="0.7"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Y118" s="35" t="s">
        <v>243</v>
      </c>
      <c r="Z118" s="27" t="s">
        <v>309</v>
      </c>
      <c r="AA118" s="27" t="s">
        <v>508</v>
      </c>
      <c r="AB118" s="27" t="s">
        <v>9</v>
      </c>
      <c r="AC118" s="28" t="s">
        <v>309</v>
      </c>
      <c r="AG118" s="26" t="s">
        <v>244</v>
      </c>
      <c r="AH118" s="26" t="s">
        <v>23</v>
      </c>
    </row>
    <row r="119" spans="3:34" x14ac:dyDescent="0.7"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Y119" s="35" t="s">
        <v>245</v>
      </c>
      <c r="Z119" s="27" t="s">
        <v>309</v>
      </c>
      <c r="AA119" s="27" t="s">
        <v>507</v>
      </c>
      <c r="AB119" s="27" t="s">
        <v>12</v>
      </c>
      <c r="AC119" s="28" t="s">
        <v>309</v>
      </c>
      <c r="AG119" s="26" t="s">
        <v>246</v>
      </c>
      <c r="AH119" s="26" t="s">
        <v>23</v>
      </c>
    </row>
    <row r="120" spans="3:34" x14ac:dyDescent="0.7"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Y120" s="35" t="s">
        <v>247</v>
      </c>
      <c r="Z120" s="27" t="s">
        <v>309</v>
      </c>
      <c r="AA120" s="27" t="s">
        <v>507</v>
      </c>
      <c r="AB120" s="27" t="s">
        <v>13</v>
      </c>
      <c r="AC120" s="28" t="s">
        <v>309</v>
      </c>
      <c r="AG120" s="26" t="s">
        <v>248</v>
      </c>
      <c r="AH120" s="26" t="s">
        <v>23</v>
      </c>
    </row>
    <row r="121" spans="3:34" x14ac:dyDescent="0.7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Y121" s="35" t="s">
        <v>249</v>
      </c>
      <c r="Z121" s="27" t="s">
        <v>309</v>
      </c>
      <c r="AA121" s="27" t="s">
        <v>507</v>
      </c>
      <c r="AB121" s="27" t="s">
        <v>8</v>
      </c>
      <c r="AC121" s="28" t="s">
        <v>309</v>
      </c>
      <c r="AG121" s="26" t="s">
        <v>250</v>
      </c>
      <c r="AH121" s="26" t="s">
        <v>23</v>
      </c>
    </row>
    <row r="122" spans="3:34" x14ac:dyDescent="0.7"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Y122" s="35" t="s">
        <v>251</v>
      </c>
      <c r="Z122" s="27" t="s">
        <v>309</v>
      </c>
      <c r="AA122" s="27" t="s">
        <v>507</v>
      </c>
      <c r="AB122" s="27" t="s">
        <v>12</v>
      </c>
      <c r="AC122" s="28" t="s">
        <v>309</v>
      </c>
      <c r="AG122" s="26" t="s">
        <v>252</v>
      </c>
      <c r="AH122" s="26" t="s">
        <v>23</v>
      </c>
    </row>
    <row r="123" spans="3:34" x14ac:dyDescent="0.7"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Y123" s="35" t="s">
        <v>253</v>
      </c>
      <c r="Z123" s="27" t="s">
        <v>309</v>
      </c>
      <c r="AA123" s="27" t="s">
        <v>507</v>
      </c>
      <c r="AB123" s="27" t="s">
        <v>9</v>
      </c>
      <c r="AC123" s="28" t="s">
        <v>309</v>
      </c>
      <c r="AG123" s="26" t="s">
        <v>254</v>
      </c>
      <c r="AH123" s="26" t="s">
        <v>23</v>
      </c>
    </row>
    <row r="124" spans="3:34" x14ac:dyDescent="0.7"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Y124" s="35" t="s">
        <v>255</v>
      </c>
      <c r="Z124" s="27" t="s">
        <v>309</v>
      </c>
      <c r="AA124" s="27" t="s">
        <v>507</v>
      </c>
      <c r="AB124" s="27" t="s">
        <v>11</v>
      </c>
      <c r="AC124" s="28" t="s">
        <v>309</v>
      </c>
      <c r="AG124" s="26" t="s">
        <v>256</v>
      </c>
      <c r="AH124" s="26" t="s">
        <v>23</v>
      </c>
    </row>
    <row r="125" spans="3:34" x14ac:dyDescent="0.7"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Y125" s="35" t="s">
        <v>257</v>
      </c>
      <c r="Z125" s="27" t="s">
        <v>309</v>
      </c>
      <c r="AA125" s="27" t="s">
        <v>507</v>
      </c>
      <c r="AB125" s="27" t="s">
        <v>13</v>
      </c>
      <c r="AC125" s="28" t="s">
        <v>309</v>
      </c>
      <c r="AG125" s="26" t="s">
        <v>258</v>
      </c>
      <c r="AH125" s="26" t="s">
        <v>23</v>
      </c>
    </row>
    <row r="126" spans="3:34" x14ac:dyDescent="0.7"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Y126" s="35" t="s">
        <v>259</v>
      </c>
      <c r="Z126" s="27" t="s">
        <v>309</v>
      </c>
      <c r="AA126" s="27" t="s">
        <v>507</v>
      </c>
      <c r="AB126" s="27" t="s">
        <v>497</v>
      </c>
      <c r="AC126" s="28" t="s">
        <v>498</v>
      </c>
      <c r="AG126" s="26" t="s">
        <v>260</v>
      </c>
      <c r="AH126" s="26" t="s">
        <v>19</v>
      </c>
    </row>
    <row r="127" spans="3:34" x14ac:dyDescent="0.7"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Y127" s="35" t="s">
        <v>261</v>
      </c>
      <c r="Z127" s="27" t="s">
        <v>309</v>
      </c>
      <c r="AA127" s="27" t="s">
        <v>507</v>
      </c>
      <c r="AB127" s="27" t="s">
        <v>12</v>
      </c>
      <c r="AC127" s="28" t="s">
        <v>309</v>
      </c>
      <c r="AG127" s="26" t="s">
        <v>262</v>
      </c>
      <c r="AH127" s="26" t="s">
        <v>19</v>
      </c>
    </row>
    <row r="128" spans="3:34" x14ac:dyDescent="0.7"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Y128" s="35" t="s">
        <v>263</v>
      </c>
      <c r="Z128" s="27" t="s">
        <v>309</v>
      </c>
      <c r="AA128" s="27" t="s">
        <v>507</v>
      </c>
      <c r="AB128" s="27" t="s">
        <v>12</v>
      </c>
      <c r="AC128" s="28" t="s">
        <v>309</v>
      </c>
      <c r="AG128" s="26" t="s">
        <v>264</v>
      </c>
      <c r="AH128" s="26" t="s">
        <v>19</v>
      </c>
    </row>
    <row r="129" spans="3:34" x14ac:dyDescent="0.7"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Y129" s="35" t="s">
        <v>265</v>
      </c>
      <c r="Z129" s="27" t="s">
        <v>309</v>
      </c>
      <c r="AA129" s="27" t="s">
        <v>507</v>
      </c>
      <c r="AB129" s="27" t="s">
        <v>14</v>
      </c>
      <c r="AC129" s="28" t="s">
        <v>309</v>
      </c>
      <c r="AG129" s="26" t="s">
        <v>266</v>
      </c>
      <c r="AH129" s="26" t="s">
        <v>19</v>
      </c>
    </row>
    <row r="130" spans="3:34" x14ac:dyDescent="0.7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Y130" s="35" t="s">
        <v>267</v>
      </c>
      <c r="Z130" s="27" t="s">
        <v>309</v>
      </c>
      <c r="AA130" s="27" t="s">
        <v>507</v>
      </c>
      <c r="AB130" s="27" t="s">
        <v>13</v>
      </c>
      <c r="AC130" s="28" t="s">
        <v>309</v>
      </c>
      <c r="AG130" s="26" t="s">
        <v>268</v>
      </c>
      <c r="AH130" s="26" t="s">
        <v>19</v>
      </c>
    </row>
    <row r="131" spans="3:34" x14ac:dyDescent="0.7"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Y131" s="35" t="s">
        <v>269</v>
      </c>
      <c r="Z131" s="27" t="s">
        <v>309</v>
      </c>
      <c r="AA131" s="27" t="s">
        <v>507</v>
      </c>
      <c r="AB131" s="27" t="s">
        <v>9</v>
      </c>
      <c r="AC131" s="28" t="s">
        <v>309</v>
      </c>
      <c r="AG131" s="26" t="s">
        <v>270</v>
      </c>
      <c r="AH131" s="26" t="s">
        <v>19</v>
      </c>
    </row>
    <row r="132" spans="3:34" x14ac:dyDescent="0.7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Y132" s="35" t="s">
        <v>271</v>
      </c>
      <c r="Z132" s="27" t="s">
        <v>309</v>
      </c>
      <c r="AA132" s="27" t="s">
        <v>507</v>
      </c>
      <c r="AB132" s="27" t="s">
        <v>10</v>
      </c>
      <c r="AC132" s="28" t="s">
        <v>309</v>
      </c>
      <c r="AG132" s="26" t="s">
        <v>272</v>
      </c>
      <c r="AH132" s="26" t="s">
        <v>19</v>
      </c>
    </row>
    <row r="133" spans="3:34" x14ac:dyDescent="0.7"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Y133" s="35" t="s">
        <v>273</v>
      </c>
      <c r="Z133" s="27" t="s">
        <v>309</v>
      </c>
      <c r="AA133" s="27" t="s">
        <v>507</v>
      </c>
      <c r="AB133" s="27" t="s">
        <v>10</v>
      </c>
      <c r="AC133" s="28" t="s">
        <v>309</v>
      </c>
      <c r="AG133" s="26" t="s">
        <v>274</v>
      </c>
      <c r="AH133" s="26" t="s">
        <v>19</v>
      </c>
    </row>
    <row r="134" spans="3:34" x14ac:dyDescent="0.7"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Y134" s="35" t="s">
        <v>275</v>
      </c>
      <c r="Z134" s="27" t="s">
        <v>309</v>
      </c>
      <c r="AA134" s="27" t="s">
        <v>507</v>
      </c>
      <c r="AB134" s="27" t="s">
        <v>12</v>
      </c>
      <c r="AC134" s="28" t="s">
        <v>309</v>
      </c>
      <c r="AG134" s="26" t="s">
        <v>276</v>
      </c>
      <c r="AH134" s="26" t="s">
        <v>19</v>
      </c>
    </row>
    <row r="135" spans="3:34" x14ac:dyDescent="0.7"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Y135" s="35" t="s">
        <v>277</v>
      </c>
      <c r="Z135" s="27" t="s">
        <v>309</v>
      </c>
      <c r="AA135" s="27" t="s">
        <v>507</v>
      </c>
      <c r="AB135" s="27" t="s">
        <v>13</v>
      </c>
      <c r="AC135" s="28" t="s">
        <v>309</v>
      </c>
      <c r="AG135" s="26" t="s">
        <v>278</v>
      </c>
      <c r="AH135" s="26" t="s">
        <v>19</v>
      </c>
    </row>
    <row r="136" spans="3:34" x14ac:dyDescent="0.7"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Y136" s="27" t="s">
        <v>279</v>
      </c>
      <c r="Z136" s="27" t="s">
        <v>309</v>
      </c>
      <c r="AA136" s="27" t="s">
        <v>507</v>
      </c>
      <c r="AB136" s="27" t="s">
        <v>11</v>
      </c>
      <c r="AC136" s="28" t="s">
        <v>309</v>
      </c>
      <c r="AG136" s="26" t="s">
        <v>280</v>
      </c>
      <c r="AH136" s="26" t="s">
        <v>19</v>
      </c>
    </row>
    <row r="137" spans="3:34" x14ac:dyDescent="0.7"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Y137" s="27" t="s">
        <v>281</v>
      </c>
      <c r="Z137" s="27" t="s">
        <v>309</v>
      </c>
      <c r="AA137" s="27" t="s">
        <v>507</v>
      </c>
      <c r="AB137" s="27" t="s">
        <v>12</v>
      </c>
      <c r="AC137" s="28" t="s">
        <v>309</v>
      </c>
      <c r="AG137" s="26" t="s">
        <v>282</v>
      </c>
      <c r="AH137" s="26" t="s">
        <v>19</v>
      </c>
    </row>
    <row r="138" spans="3:34" x14ac:dyDescent="0.7"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Y138" s="27" t="s">
        <v>283</v>
      </c>
      <c r="Z138" s="27" t="s">
        <v>309</v>
      </c>
      <c r="AA138" s="27" t="s">
        <v>507</v>
      </c>
      <c r="AB138" s="27" t="s">
        <v>8</v>
      </c>
      <c r="AC138" s="28" t="s">
        <v>309</v>
      </c>
      <c r="AG138" s="26" t="s">
        <v>284</v>
      </c>
      <c r="AH138" s="26" t="s">
        <v>19</v>
      </c>
    </row>
    <row r="139" spans="3:34" x14ac:dyDescent="0.7"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Y139" s="27" t="s">
        <v>285</v>
      </c>
      <c r="Z139" s="27" t="s">
        <v>309</v>
      </c>
      <c r="AA139" s="27" t="s">
        <v>509</v>
      </c>
      <c r="AB139" s="27" t="s">
        <v>11</v>
      </c>
      <c r="AC139" s="28" t="s">
        <v>309</v>
      </c>
      <c r="AG139" s="26" t="s">
        <v>286</v>
      </c>
      <c r="AH139" s="26" t="s">
        <v>19</v>
      </c>
    </row>
    <row r="140" spans="3:34" x14ac:dyDescent="0.7"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Y140" s="27" t="s">
        <v>287</v>
      </c>
      <c r="Z140" s="27" t="s">
        <v>309</v>
      </c>
      <c r="AA140" s="27" t="s">
        <v>509</v>
      </c>
      <c r="AB140" s="27" t="s">
        <v>14</v>
      </c>
      <c r="AC140" s="28" t="s">
        <v>309</v>
      </c>
      <c r="AG140" s="26" t="s">
        <v>288</v>
      </c>
      <c r="AH140" s="26" t="s">
        <v>19</v>
      </c>
    </row>
    <row r="141" spans="3:34" x14ac:dyDescent="0.7"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Y141" s="27" t="s">
        <v>289</v>
      </c>
      <c r="Z141" s="27" t="s">
        <v>309</v>
      </c>
      <c r="AA141" s="27" t="s">
        <v>509</v>
      </c>
      <c r="AB141" s="27" t="s">
        <v>12</v>
      </c>
      <c r="AC141" s="28" t="s">
        <v>309</v>
      </c>
      <c r="AG141" s="26" t="s">
        <v>290</v>
      </c>
      <c r="AH141" s="26" t="s">
        <v>19</v>
      </c>
    </row>
    <row r="142" spans="3:34" x14ac:dyDescent="0.7"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Y142" s="27" t="s">
        <v>291</v>
      </c>
      <c r="Z142" s="27" t="s">
        <v>309</v>
      </c>
      <c r="AA142" s="27" t="s">
        <v>509</v>
      </c>
      <c r="AB142" s="27" t="s">
        <v>497</v>
      </c>
      <c r="AC142" s="28" t="s">
        <v>498</v>
      </c>
      <c r="AG142" s="26" t="s">
        <v>292</v>
      </c>
      <c r="AH142" s="26" t="s">
        <v>19</v>
      </c>
    </row>
    <row r="143" spans="3:34" x14ac:dyDescent="0.7"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Y143" s="27" t="s">
        <v>293</v>
      </c>
      <c r="Z143" s="27" t="s">
        <v>309</v>
      </c>
      <c r="AA143" s="27" t="s">
        <v>509</v>
      </c>
      <c r="AB143" s="27" t="s">
        <v>12</v>
      </c>
      <c r="AC143" s="28" t="s">
        <v>309</v>
      </c>
      <c r="AG143" s="26" t="s">
        <v>294</v>
      </c>
      <c r="AH143" s="26" t="s">
        <v>19</v>
      </c>
    </row>
    <row r="144" spans="3:34" x14ac:dyDescent="0.7"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Y144" s="27" t="s">
        <v>295</v>
      </c>
      <c r="Z144" s="27" t="s">
        <v>309</v>
      </c>
      <c r="AA144" s="27" t="s">
        <v>509</v>
      </c>
      <c r="AB144" s="27" t="s">
        <v>9</v>
      </c>
      <c r="AC144" s="28" t="s">
        <v>309</v>
      </c>
      <c r="AG144" s="26" t="s">
        <v>296</v>
      </c>
      <c r="AH144" s="26" t="s">
        <v>19</v>
      </c>
    </row>
    <row r="145" spans="3:34" x14ac:dyDescent="0.7"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Y145" s="27" t="s">
        <v>297</v>
      </c>
      <c r="Z145" s="27" t="s">
        <v>309</v>
      </c>
      <c r="AA145" s="27" t="s">
        <v>509</v>
      </c>
      <c r="AB145" s="27" t="s">
        <v>10</v>
      </c>
      <c r="AC145" s="28" t="s">
        <v>309</v>
      </c>
      <c r="AG145" s="26" t="s">
        <v>298</v>
      </c>
      <c r="AH145" s="26" t="s">
        <v>19</v>
      </c>
    </row>
    <row r="146" spans="3:34" x14ac:dyDescent="0.7"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Y146" s="27" t="s">
        <v>299</v>
      </c>
      <c r="Z146" s="27" t="s">
        <v>309</v>
      </c>
      <c r="AA146" s="27" t="s">
        <v>509</v>
      </c>
      <c r="AB146" s="27" t="s">
        <v>13</v>
      </c>
      <c r="AC146" s="28" t="s">
        <v>309</v>
      </c>
      <c r="AG146" s="26" t="s">
        <v>300</v>
      </c>
      <c r="AH146" s="26" t="s">
        <v>19</v>
      </c>
    </row>
    <row r="147" spans="3:34" x14ac:dyDescent="0.7"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Y147" s="27" t="s">
        <v>301</v>
      </c>
      <c r="Z147" s="27" t="s">
        <v>309</v>
      </c>
      <c r="AA147" s="27" t="s">
        <v>509</v>
      </c>
      <c r="AB147" s="27" t="s">
        <v>8</v>
      </c>
      <c r="AC147" s="28" t="s">
        <v>309</v>
      </c>
      <c r="AG147" s="26" t="s">
        <v>302</v>
      </c>
      <c r="AH147" s="26" t="s">
        <v>19</v>
      </c>
    </row>
    <row r="148" spans="3:34" x14ac:dyDescent="0.7">
      <c r="Y148" s="27" t="s">
        <v>303</v>
      </c>
      <c r="Z148" s="27" t="s">
        <v>309</v>
      </c>
      <c r="AA148" s="27" t="s">
        <v>509</v>
      </c>
      <c r="AB148" s="27" t="s">
        <v>9</v>
      </c>
      <c r="AC148" s="28" t="s">
        <v>309</v>
      </c>
      <c r="AG148" s="26" t="s">
        <v>304</v>
      </c>
      <c r="AH148" s="26" t="s">
        <v>19</v>
      </c>
    </row>
    <row r="149" spans="3:34" x14ac:dyDescent="0.7">
      <c r="Y149" s="27" t="s">
        <v>305</v>
      </c>
      <c r="Z149" s="27" t="s">
        <v>309</v>
      </c>
      <c r="AA149" s="27" t="s">
        <v>509</v>
      </c>
      <c r="AB149" s="27" t="s">
        <v>13</v>
      </c>
      <c r="AC149" s="28" t="s">
        <v>309</v>
      </c>
      <c r="AG149" s="26" t="s">
        <v>306</v>
      </c>
      <c r="AH149" s="26" t="s">
        <v>19</v>
      </c>
    </row>
    <row r="150" spans="3:34" x14ac:dyDescent="0.7">
      <c r="Y150" s="27" t="s">
        <v>307</v>
      </c>
      <c r="Z150" s="27" t="s">
        <v>309</v>
      </c>
      <c r="AA150" s="27" t="s">
        <v>509</v>
      </c>
      <c r="AB150" s="27" t="s">
        <v>10</v>
      </c>
      <c r="AC150" s="28" t="s">
        <v>309</v>
      </c>
      <c r="AG150" s="26" t="s">
        <v>308</v>
      </c>
      <c r="AH150" s="26" t="s">
        <v>309</v>
      </c>
    </row>
    <row r="151" spans="3:34" x14ac:dyDescent="0.7">
      <c r="Y151" s="27" t="s">
        <v>310</v>
      </c>
      <c r="Z151" s="27" t="s">
        <v>309</v>
      </c>
      <c r="AA151" s="27" t="s">
        <v>509</v>
      </c>
      <c r="AB151" s="27" t="s">
        <v>13</v>
      </c>
      <c r="AC151" s="28" t="s">
        <v>309</v>
      </c>
      <c r="AG151" s="26" t="s">
        <v>311</v>
      </c>
      <c r="AH151" s="26" t="s">
        <v>309</v>
      </c>
    </row>
    <row r="152" spans="3:34" x14ac:dyDescent="0.7">
      <c r="Y152" s="27" t="s">
        <v>312</v>
      </c>
      <c r="Z152" s="27" t="s">
        <v>309</v>
      </c>
      <c r="AA152" s="27" t="s">
        <v>509</v>
      </c>
      <c r="AB152" s="27" t="s">
        <v>12</v>
      </c>
      <c r="AC152" s="28" t="s">
        <v>309</v>
      </c>
      <c r="AG152" s="26" t="s">
        <v>58</v>
      </c>
      <c r="AH152" s="26" t="s">
        <v>309</v>
      </c>
    </row>
    <row r="153" spans="3:34" x14ac:dyDescent="0.7">
      <c r="Y153" s="27" t="s">
        <v>313</v>
      </c>
      <c r="Z153" s="27" t="s">
        <v>309</v>
      </c>
      <c r="AA153" s="27" t="s">
        <v>509</v>
      </c>
      <c r="AB153" s="27" t="s">
        <v>14</v>
      </c>
      <c r="AC153" s="28" t="s">
        <v>309</v>
      </c>
      <c r="AG153" s="26" t="s">
        <v>314</v>
      </c>
      <c r="AH153" s="26" t="s">
        <v>309</v>
      </c>
    </row>
    <row r="154" spans="3:34" x14ac:dyDescent="0.7">
      <c r="Y154" s="27" t="s">
        <v>315</v>
      </c>
      <c r="Z154" s="27" t="s">
        <v>309</v>
      </c>
      <c r="AA154" s="27" t="s">
        <v>509</v>
      </c>
      <c r="AB154" s="27" t="s">
        <v>14</v>
      </c>
      <c r="AC154" s="28" t="s">
        <v>309</v>
      </c>
      <c r="AG154" s="26" t="s">
        <v>159</v>
      </c>
      <c r="AH154" s="26" t="s">
        <v>309</v>
      </c>
    </row>
    <row r="155" spans="3:34" x14ac:dyDescent="0.7">
      <c r="Y155" s="27" t="s">
        <v>316</v>
      </c>
      <c r="Z155" s="27" t="s">
        <v>309</v>
      </c>
      <c r="AA155" s="27" t="s">
        <v>509</v>
      </c>
      <c r="AB155" s="27" t="s">
        <v>13</v>
      </c>
      <c r="AC155" s="28" t="s">
        <v>309</v>
      </c>
      <c r="AG155" s="26" t="s">
        <v>317</v>
      </c>
      <c r="AH155" s="26" t="s">
        <v>309</v>
      </c>
    </row>
    <row r="156" spans="3:34" x14ac:dyDescent="0.7">
      <c r="Y156" s="27" t="s">
        <v>318</v>
      </c>
      <c r="Z156" s="27" t="s">
        <v>309</v>
      </c>
      <c r="AA156" s="27" t="s">
        <v>509</v>
      </c>
      <c r="AB156" s="27" t="s">
        <v>13</v>
      </c>
      <c r="AC156" s="28" t="s">
        <v>309</v>
      </c>
      <c r="AG156" s="26" t="s">
        <v>319</v>
      </c>
      <c r="AH156" s="26" t="s">
        <v>309</v>
      </c>
    </row>
    <row r="157" spans="3:34" x14ac:dyDescent="0.7">
      <c r="Y157" s="27" t="s">
        <v>320</v>
      </c>
      <c r="Z157" s="27" t="s">
        <v>309</v>
      </c>
      <c r="AA157" s="27" t="s">
        <v>509</v>
      </c>
      <c r="AB157" s="27" t="s">
        <v>9</v>
      </c>
      <c r="AC157" s="28" t="s">
        <v>309</v>
      </c>
      <c r="AG157" s="26" t="s">
        <v>321</v>
      </c>
      <c r="AH157" s="26" t="s">
        <v>309</v>
      </c>
    </row>
    <row r="158" spans="3:34" x14ac:dyDescent="0.7">
      <c r="Y158" s="27" t="s">
        <v>322</v>
      </c>
      <c r="Z158" s="27" t="s">
        <v>309</v>
      </c>
      <c r="AA158" s="27" t="s">
        <v>509</v>
      </c>
      <c r="AB158" s="27" t="s">
        <v>12</v>
      </c>
      <c r="AC158" s="28" t="s">
        <v>309</v>
      </c>
      <c r="AG158" s="26" t="s">
        <v>323</v>
      </c>
      <c r="AH158" s="26" t="s">
        <v>309</v>
      </c>
    </row>
    <row r="159" spans="3:34" x14ac:dyDescent="0.7">
      <c r="Y159" s="27" t="s">
        <v>324</v>
      </c>
      <c r="Z159" s="27" t="s">
        <v>309</v>
      </c>
      <c r="AA159" s="27" t="s">
        <v>509</v>
      </c>
      <c r="AB159" s="27" t="s">
        <v>12</v>
      </c>
      <c r="AC159" s="28" t="s">
        <v>309</v>
      </c>
      <c r="AG159" s="26" t="s">
        <v>325</v>
      </c>
      <c r="AH159" s="26" t="s">
        <v>309</v>
      </c>
    </row>
    <row r="160" spans="3:34" x14ac:dyDescent="0.7">
      <c r="Y160" s="27" t="s">
        <v>326</v>
      </c>
      <c r="Z160" s="27" t="s">
        <v>309</v>
      </c>
      <c r="AA160" s="27" t="s">
        <v>509</v>
      </c>
      <c r="AB160" s="27" t="s">
        <v>9</v>
      </c>
      <c r="AC160" s="28" t="s">
        <v>309</v>
      </c>
      <c r="AG160" s="26" t="s">
        <v>327</v>
      </c>
      <c r="AH160" s="26" t="s">
        <v>309</v>
      </c>
    </row>
    <row r="161" spans="25:34" x14ac:dyDescent="0.7">
      <c r="Y161" s="35" t="s">
        <v>328</v>
      </c>
      <c r="Z161" s="27" t="s">
        <v>309</v>
      </c>
      <c r="AA161" s="27" t="s">
        <v>509</v>
      </c>
      <c r="AB161" s="27" t="s">
        <v>9</v>
      </c>
      <c r="AC161" s="28" t="s">
        <v>309</v>
      </c>
      <c r="AG161" s="26" t="s">
        <v>204</v>
      </c>
      <c r="AH161" s="26" t="s">
        <v>309</v>
      </c>
    </row>
    <row r="162" spans="25:34" x14ac:dyDescent="0.7">
      <c r="Y162" s="35" t="s">
        <v>329</v>
      </c>
      <c r="Z162" s="27" t="s">
        <v>309</v>
      </c>
      <c r="AA162" s="27" t="s">
        <v>510</v>
      </c>
      <c r="AB162" s="27" t="s">
        <v>9</v>
      </c>
      <c r="AC162" s="28" t="s">
        <v>309</v>
      </c>
      <c r="AG162" s="26" t="s">
        <v>70</v>
      </c>
      <c r="AH162" s="26" t="s">
        <v>309</v>
      </c>
    </row>
    <row r="163" spans="25:34" x14ac:dyDescent="0.7">
      <c r="Y163" s="35" t="s">
        <v>330</v>
      </c>
      <c r="Z163" s="27" t="s">
        <v>309</v>
      </c>
      <c r="AA163" s="27" t="s">
        <v>510</v>
      </c>
      <c r="AB163" s="27" t="s">
        <v>14</v>
      </c>
      <c r="AC163" s="28" t="s">
        <v>309</v>
      </c>
      <c r="AG163" s="26" t="s">
        <v>95</v>
      </c>
      <c r="AH163" s="26" t="s">
        <v>309</v>
      </c>
    </row>
    <row r="164" spans="25:34" x14ac:dyDescent="0.7">
      <c r="Y164" s="35" t="s">
        <v>331</v>
      </c>
      <c r="Z164" s="27" t="s">
        <v>309</v>
      </c>
      <c r="AA164" s="27" t="s">
        <v>510</v>
      </c>
      <c r="AB164" s="27" t="s">
        <v>497</v>
      </c>
      <c r="AC164" s="28" t="s">
        <v>498</v>
      </c>
      <c r="AG164" s="26" t="s">
        <v>332</v>
      </c>
      <c r="AH164" s="26" t="s">
        <v>309</v>
      </c>
    </row>
    <row r="165" spans="25:34" x14ac:dyDescent="0.7">
      <c r="Y165" s="35" t="s">
        <v>333</v>
      </c>
      <c r="Z165" s="27" t="s">
        <v>309</v>
      </c>
      <c r="AA165" s="27" t="s">
        <v>510</v>
      </c>
      <c r="AB165" s="27" t="s">
        <v>12</v>
      </c>
      <c r="AC165" s="28" t="s">
        <v>309</v>
      </c>
      <c r="AG165" s="26" t="s">
        <v>139</v>
      </c>
      <c r="AH165" s="26" t="s">
        <v>309</v>
      </c>
    </row>
    <row r="166" spans="25:34" x14ac:dyDescent="0.7">
      <c r="Y166" s="35" t="s">
        <v>334</v>
      </c>
      <c r="Z166" s="27" t="s">
        <v>309</v>
      </c>
      <c r="AA166" s="27" t="s">
        <v>510</v>
      </c>
      <c r="AB166" s="27" t="s">
        <v>12</v>
      </c>
      <c r="AC166" s="28" t="s">
        <v>309</v>
      </c>
      <c r="AG166" s="26" t="s">
        <v>335</v>
      </c>
      <c r="AH166" s="26" t="s">
        <v>309</v>
      </c>
    </row>
    <row r="167" spans="25:34" x14ac:dyDescent="0.7">
      <c r="Y167" s="35" t="s">
        <v>336</v>
      </c>
      <c r="Z167" s="27" t="s">
        <v>309</v>
      </c>
      <c r="AA167" s="27" t="s">
        <v>510</v>
      </c>
      <c r="AB167" s="27" t="s">
        <v>497</v>
      </c>
      <c r="AC167" s="28" t="s">
        <v>498</v>
      </c>
      <c r="AG167" s="26" t="s">
        <v>38</v>
      </c>
      <c r="AH167" s="26" t="s">
        <v>309</v>
      </c>
    </row>
    <row r="168" spans="25:34" x14ac:dyDescent="0.7">
      <c r="Y168" s="35" t="s">
        <v>337</v>
      </c>
      <c r="Z168" s="27" t="s">
        <v>309</v>
      </c>
      <c r="AA168" s="27" t="s">
        <v>510</v>
      </c>
      <c r="AB168" s="27" t="s">
        <v>8</v>
      </c>
      <c r="AC168" s="28" t="s">
        <v>309</v>
      </c>
      <c r="AG168" s="26" t="s">
        <v>68</v>
      </c>
      <c r="AH168" s="26" t="s">
        <v>309</v>
      </c>
    </row>
    <row r="169" spans="25:34" x14ac:dyDescent="0.7">
      <c r="Y169" s="35" t="s">
        <v>338</v>
      </c>
      <c r="Z169" s="27" t="s">
        <v>309</v>
      </c>
      <c r="AA169" s="27" t="s">
        <v>510</v>
      </c>
      <c r="AB169" s="27" t="s">
        <v>12</v>
      </c>
      <c r="AC169" s="28" t="s">
        <v>309</v>
      </c>
      <c r="AG169" s="26" t="s">
        <v>339</v>
      </c>
      <c r="AH169" s="26" t="s">
        <v>309</v>
      </c>
    </row>
    <row r="170" spans="25:34" x14ac:dyDescent="0.7">
      <c r="Y170" s="35" t="s">
        <v>340</v>
      </c>
      <c r="Z170" s="27" t="s">
        <v>309</v>
      </c>
      <c r="AA170" s="27" t="s">
        <v>510</v>
      </c>
      <c r="AB170" s="27" t="s">
        <v>12</v>
      </c>
      <c r="AC170" s="28" t="s">
        <v>309</v>
      </c>
      <c r="AG170" s="26" t="s">
        <v>72</v>
      </c>
      <c r="AH170" s="26" t="s">
        <v>309</v>
      </c>
    </row>
    <row r="171" spans="25:34" x14ac:dyDescent="0.7">
      <c r="Y171" s="35" t="s">
        <v>341</v>
      </c>
      <c r="Z171" s="27" t="s">
        <v>309</v>
      </c>
      <c r="AA171" s="27">
        <v>0</v>
      </c>
      <c r="AB171" s="27" t="s">
        <v>9</v>
      </c>
      <c r="AC171" s="28" t="s">
        <v>309</v>
      </c>
      <c r="AG171" s="26" t="s">
        <v>342</v>
      </c>
      <c r="AH171" s="26" t="s">
        <v>309</v>
      </c>
    </row>
    <row r="172" spans="25:34" x14ac:dyDescent="0.7">
      <c r="Y172" s="35" t="s">
        <v>343</v>
      </c>
      <c r="Z172" s="27" t="s">
        <v>309</v>
      </c>
      <c r="AA172" s="27" t="s">
        <v>510</v>
      </c>
      <c r="AB172" s="27" t="s">
        <v>12</v>
      </c>
      <c r="AC172" s="28" t="s">
        <v>309</v>
      </c>
      <c r="AG172" s="26" t="s">
        <v>344</v>
      </c>
      <c r="AH172" s="26" t="s">
        <v>309</v>
      </c>
    </row>
    <row r="173" spans="25:34" x14ac:dyDescent="0.7">
      <c r="Y173" s="35" t="s">
        <v>345</v>
      </c>
      <c r="Z173" s="27" t="s">
        <v>309</v>
      </c>
      <c r="AA173" s="27" t="s">
        <v>510</v>
      </c>
      <c r="AB173" s="27" t="s">
        <v>12</v>
      </c>
      <c r="AC173" s="28" t="s">
        <v>309</v>
      </c>
      <c r="AG173" s="26" t="s">
        <v>76</v>
      </c>
      <c r="AH173" s="26" t="s">
        <v>309</v>
      </c>
    </row>
    <row r="174" spans="25:34" x14ac:dyDescent="0.7">
      <c r="Y174" s="35" t="s">
        <v>346</v>
      </c>
      <c r="Z174" s="27" t="s">
        <v>309</v>
      </c>
      <c r="AA174" s="27" t="s">
        <v>510</v>
      </c>
      <c r="AB174" s="27" t="s">
        <v>11</v>
      </c>
      <c r="AC174" s="28" t="s">
        <v>309</v>
      </c>
      <c r="AG174" s="26" t="s">
        <v>347</v>
      </c>
      <c r="AH174" s="26" t="s">
        <v>309</v>
      </c>
    </row>
    <row r="175" spans="25:34" x14ac:dyDescent="0.7">
      <c r="Y175" s="35" t="s">
        <v>348</v>
      </c>
      <c r="Z175" s="27" t="s">
        <v>309</v>
      </c>
      <c r="AA175" s="27" t="s">
        <v>510</v>
      </c>
      <c r="AB175" s="27" t="s">
        <v>10</v>
      </c>
      <c r="AC175" s="28" t="s">
        <v>309</v>
      </c>
      <c r="AG175" s="26" t="s">
        <v>310</v>
      </c>
      <c r="AH175" s="26" t="s">
        <v>309</v>
      </c>
    </row>
    <row r="176" spans="25:34" x14ac:dyDescent="0.7">
      <c r="Y176" s="35" t="s">
        <v>349</v>
      </c>
      <c r="Z176" s="27" t="s">
        <v>309</v>
      </c>
      <c r="AA176" s="27" t="s">
        <v>510</v>
      </c>
      <c r="AB176" s="27" t="s">
        <v>13</v>
      </c>
      <c r="AC176" s="28" t="s">
        <v>309</v>
      </c>
      <c r="AG176" s="26" t="s">
        <v>50</v>
      </c>
      <c r="AH176" s="26" t="s">
        <v>309</v>
      </c>
    </row>
    <row r="177" spans="25:34" x14ac:dyDescent="0.7">
      <c r="Y177" s="35" t="s">
        <v>350</v>
      </c>
      <c r="Z177" s="27" t="s">
        <v>309</v>
      </c>
      <c r="AA177" s="27" t="s">
        <v>510</v>
      </c>
      <c r="AB177" s="27" t="s">
        <v>9</v>
      </c>
      <c r="AC177" s="28" t="s">
        <v>309</v>
      </c>
      <c r="AG177" s="26" t="s">
        <v>351</v>
      </c>
      <c r="AH177" s="26" t="s">
        <v>309</v>
      </c>
    </row>
    <row r="178" spans="25:34" x14ac:dyDescent="0.7">
      <c r="Y178" s="35" t="s">
        <v>352</v>
      </c>
      <c r="Z178" s="27" t="s">
        <v>309</v>
      </c>
      <c r="AA178" s="27" t="s">
        <v>510</v>
      </c>
      <c r="AB178" s="27" t="s">
        <v>10</v>
      </c>
      <c r="AC178" s="28" t="s">
        <v>309</v>
      </c>
      <c r="AG178" s="26" t="s">
        <v>353</v>
      </c>
      <c r="AH178" s="26" t="s">
        <v>309</v>
      </c>
    </row>
    <row r="179" spans="25:34" x14ac:dyDescent="0.7">
      <c r="Y179" s="35" t="s">
        <v>354</v>
      </c>
      <c r="Z179" s="27" t="s">
        <v>309</v>
      </c>
      <c r="AA179" s="27" t="s">
        <v>510</v>
      </c>
      <c r="AB179" s="27" t="s">
        <v>9</v>
      </c>
      <c r="AC179" s="28" t="s">
        <v>309</v>
      </c>
      <c r="AG179" s="26" t="s">
        <v>279</v>
      </c>
      <c r="AH179" s="26" t="s">
        <v>309</v>
      </c>
    </row>
    <row r="180" spans="25:34" x14ac:dyDescent="0.7">
      <c r="Y180" s="35" t="s">
        <v>355</v>
      </c>
      <c r="Z180" s="27" t="s">
        <v>309</v>
      </c>
      <c r="AA180" s="27" t="s">
        <v>510</v>
      </c>
      <c r="AB180" s="27" t="s">
        <v>511</v>
      </c>
      <c r="AC180" s="28" t="s">
        <v>498</v>
      </c>
      <c r="AG180" s="26" t="s">
        <v>356</v>
      </c>
      <c r="AH180" s="26" t="s">
        <v>309</v>
      </c>
    </row>
    <row r="181" spans="25:34" x14ac:dyDescent="0.7">
      <c r="Y181" s="35" t="s">
        <v>332</v>
      </c>
      <c r="Z181" s="27" t="s">
        <v>309</v>
      </c>
      <c r="AA181" s="27" t="s">
        <v>510</v>
      </c>
      <c r="AB181" s="27" t="s">
        <v>9</v>
      </c>
      <c r="AC181" s="28" t="s">
        <v>309</v>
      </c>
      <c r="AG181" s="26" t="s">
        <v>192</v>
      </c>
      <c r="AH181" s="26" t="s">
        <v>309</v>
      </c>
    </row>
    <row r="182" spans="25:34" x14ac:dyDescent="0.7">
      <c r="Y182" s="35" t="s">
        <v>357</v>
      </c>
      <c r="Z182" s="27" t="s">
        <v>309</v>
      </c>
      <c r="AA182" s="27" t="s">
        <v>510</v>
      </c>
      <c r="AB182" s="27" t="s">
        <v>14</v>
      </c>
      <c r="AC182" s="28" t="s">
        <v>309</v>
      </c>
      <c r="AG182" s="26" t="s">
        <v>358</v>
      </c>
      <c r="AH182" s="26" t="s">
        <v>309</v>
      </c>
    </row>
    <row r="183" spans="25:34" x14ac:dyDescent="0.7">
      <c r="Y183" s="35" t="s">
        <v>359</v>
      </c>
      <c r="Z183" s="27" t="s">
        <v>309</v>
      </c>
      <c r="AA183" s="27" t="s">
        <v>510</v>
      </c>
      <c r="AB183" s="27" t="s">
        <v>12</v>
      </c>
      <c r="AC183" s="28" t="s">
        <v>309</v>
      </c>
      <c r="AG183" s="26" t="s">
        <v>56</v>
      </c>
      <c r="AH183" s="26" t="s">
        <v>309</v>
      </c>
    </row>
    <row r="184" spans="25:34" x14ac:dyDescent="0.7">
      <c r="Y184" s="35" t="s">
        <v>360</v>
      </c>
      <c r="Z184" s="27" t="s">
        <v>309</v>
      </c>
      <c r="AA184" s="27" t="s">
        <v>510</v>
      </c>
      <c r="AB184" s="27" t="s">
        <v>12</v>
      </c>
      <c r="AC184" s="28" t="s">
        <v>309</v>
      </c>
      <c r="AG184" s="26" t="s">
        <v>361</v>
      </c>
      <c r="AH184" s="26" t="s">
        <v>309</v>
      </c>
    </row>
    <row r="185" spans="25:34" x14ac:dyDescent="0.7">
      <c r="Y185" s="27" t="s">
        <v>362</v>
      </c>
      <c r="Z185" s="27" t="s">
        <v>309</v>
      </c>
      <c r="AA185" s="27" t="s">
        <v>510</v>
      </c>
      <c r="AB185" s="27" t="s">
        <v>11</v>
      </c>
      <c r="AC185" s="28" t="s">
        <v>309</v>
      </c>
      <c r="AG185" s="26" t="s">
        <v>363</v>
      </c>
      <c r="AH185" s="26" t="s">
        <v>309</v>
      </c>
    </row>
    <row r="186" spans="25:34" x14ac:dyDescent="0.7">
      <c r="Y186" s="27" t="s">
        <v>364</v>
      </c>
      <c r="Z186" s="27" t="s">
        <v>309</v>
      </c>
      <c r="AA186" s="27" t="s">
        <v>510</v>
      </c>
      <c r="AB186" s="27" t="s">
        <v>12</v>
      </c>
      <c r="AC186" s="28" t="s">
        <v>309</v>
      </c>
      <c r="AG186" s="26" t="s">
        <v>365</v>
      </c>
      <c r="AH186" s="26" t="s">
        <v>309</v>
      </c>
    </row>
    <row r="187" spans="25:34" x14ac:dyDescent="0.7">
      <c r="Y187" s="27" t="s">
        <v>366</v>
      </c>
      <c r="Z187" s="27" t="s">
        <v>309</v>
      </c>
      <c r="AA187" s="27" t="s">
        <v>510</v>
      </c>
      <c r="AB187" s="27" t="s">
        <v>497</v>
      </c>
      <c r="AC187" s="28" t="s">
        <v>498</v>
      </c>
      <c r="AG187" s="26" t="s">
        <v>367</v>
      </c>
      <c r="AH187" s="26" t="s">
        <v>309</v>
      </c>
    </row>
    <row r="188" spans="25:34" x14ac:dyDescent="0.7">
      <c r="Y188" s="27" t="s">
        <v>57</v>
      </c>
      <c r="Z188" s="27" t="s">
        <v>22</v>
      </c>
      <c r="AA188" s="27" t="s">
        <v>512</v>
      </c>
      <c r="AB188" s="27" t="s">
        <v>14</v>
      </c>
      <c r="AC188" s="28" t="s">
        <v>309</v>
      </c>
      <c r="AG188" s="26" t="s">
        <v>146</v>
      </c>
      <c r="AH188" s="26" t="s">
        <v>309</v>
      </c>
    </row>
    <row r="189" spans="25:34" x14ac:dyDescent="0.7">
      <c r="Y189" s="27" t="s">
        <v>25</v>
      </c>
      <c r="Z189" s="27" t="s">
        <v>22</v>
      </c>
      <c r="AA189" s="27" t="s">
        <v>512</v>
      </c>
      <c r="AB189" s="27" t="s">
        <v>9</v>
      </c>
      <c r="AC189" s="28" t="s">
        <v>309</v>
      </c>
      <c r="AG189" s="26" t="s">
        <v>133</v>
      </c>
      <c r="AH189" s="26" t="s">
        <v>309</v>
      </c>
    </row>
    <row r="190" spans="25:34" x14ac:dyDescent="0.7">
      <c r="Y190" s="27" t="s">
        <v>35</v>
      </c>
      <c r="Z190" s="27" t="s">
        <v>22</v>
      </c>
      <c r="AA190" s="27" t="s">
        <v>512</v>
      </c>
      <c r="AB190" s="27" t="s">
        <v>11</v>
      </c>
      <c r="AC190" s="28" t="s">
        <v>309</v>
      </c>
      <c r="AG190" s="26" t="s">
        <v>368</v>
      </c>
      <c r="AH190" s="26" t="s">
        <v>309</v>
      </c>
    </row>
    <row r="191" spans="25:34" x14ac:dyDescent="0.7">
      <c r="Y191" s="27" t="s">
        <v>65</v>
      </c>
      <c r="Z191" s="27" t="s">
        <v>22</v>
      </c>
      <c r="AA191" s="27" t="s">
        <v>512</v>
      </c>
      <c r="AB191" s="27" t="s">
        <v>12</v>
      </c>
      <c r="AC191" s="28" t="s">
        <v>309</v>
      </c>
      <c r="AG191" s="26" t="s">
        <v>188</v>
      </c>
      <c r="AH191" s="26" t="s">
        <v>309</v>
      </c>
    </row>
    <row r="192" spans="25:34" x14ac:dyDescent="0.7">
      <c r="Y192" s="27" t="s">
        <v>59</v>
      </c>
      <c r="Z192" s="27" t="s">
        <v>22</v>
      </c>
      <c r="AA192" s="27" t="s">
        <v>512</v>
      </c>
      <c r="AB192" s="27" t="s">
        <v>497</v>
      </c>
      <c r="AC192" s="28" t="s">
        <v>498</v>
      </c>
      <c r="AG192" s="26" t="s">
        <v>148</v>
      </c>
      <c r="AH192" s="26" t="s">
        <v>309</v>
      </c>
    </row>
    <row r="193" spans="25:34" x14ac:dyDescent="0.7">
      <c r="Y193" s="27" t="s">
        <v>61</v>
      </c>
      <c r="Z193" s="27" t="s">
        <v>22</v>
      </c>
      <c r="AA193" s="27" t="s">
        <v>512</v>
      </c>
      <c r="AB193" s="27" t="s">
        <v>14</v>
      </c>
      <c r="AC193" s="28" t="s">
        <v>309</v>
      </c>
      <c r="AG193" s="26" t="s">
        <v>369</v>
      </c>
      <c r="AH193" s="26" t="s">
        <v>309</v>
      </c>
    </row>
    <row r="194" spans="25:34" x14ac:dyDescent="0.7">
      <c r="Y194" s="27" t="s">
        <v>69</v>
      </c>
      <c r="Z194" s="27" t="s">
        <v>22</v>
      </c>
      <c r="AA194" s="27" t="s">
        <v>512</v>
      </c>
      <c r="AB194" s="27" t="s">
        <v>497</v>
      </c>
      <c r="AC194" s="28" t="s">
        <v>498</v>
      </c>
      <c r="AG194" s="26" t="s">
        <v>370</v>
      </c>
      <c r="AH194" s="26" t="s">
        <v>309</v>
      </c>
    </row>
    <row r="195" spans="25:34" x14ac:dyDescent="0.7">
      <c r="Y195" s="27" t="s">
        <v>31</v>
      </c>
      <c r="Z195" s="27" t="s">
        <v>22</v>
      </c>
      <c r="AA195" s="27" t="s">
        <v>512</v>
      </c>
      <c r="AB195" s="27" t="s">
        <v>9</v>
      </c>
      <c r="AC195" s="28" t="s">
        <v>309</v>
      </c>
      <c r="AG195" s="26" t="s">
        <v>334</v>
      </c>
      <c r="AH195" s="26" t="s">
        <v>309</v>
      </c>
    </row>
    <row r="196" spans="25:34" x14ac:dyDescent="0.7">
      <c r="Y196" s="27" t="s">
        <v>71</v>
      </c>
      <c r="Z196" s="27" t="s">
        <v>22</v>
      </c>
      <c r="AA196" s="27" t="s">
        <v>512</v>
      </c>
      <c r="AB196" s="27" t="s">
        <v>504</v>
      </c>
      <c r="AC196" s="28" t="s">
        <v>498</v>
      </c>
      <c r="AG196" s="26" t="s">
        <v>371</v>
      </c>
      <c r="AH196" s="26" t="s">
        <v>309</v>
      </c>
    </row>
    <row r="197" spans="25:34" x14ac:dyDescent="0.7">
      <c r="Y197" s="27" t="s">
        <v>45</v>
      </c>
      <c r="Z197" s="27" t="s">
        <v>22</v>
      </c>
      <c r="AA197" s="27" t="s">
        <v>512</v>
      </c>
      <c r="AB197" s="27" t="s">
        <v>14</v>
      </c>
      <c r="AC197" s="28" t="s">
        <v>309</v>
      </c>
      <c r="AG197" s="26" t="s">
        <v>372</v>
      </c>
      <c r="AH197" s="26" t="s">
        <v>309</v>
      </c>
    </row>
    <row r="198" spans="25:34" x14ac:dyDescent="0.7">
      <c r="Y198" s="27" t="s">
        <v>39</v>
      </c>
      <c r="Z198" s="27" t="s">
        <v>22</v>
      </c>
      <c r="AA198" s="27" t="s">
        <v>512</v>
      </c>
      <c r="AB198" s="27" t="s">
        <v>499</v>
      </c>
      <c r="AC198" s="28" t="s">
        <v>498</v>
      </c>
      <c r="AG198" s="26" t="s">
        <v>328</v>
      </c>
      <c r="AH198" s="26" t="s">
        <v>309</v>
      </c>
    </row>
    <row r="199" spans="25:34" x14ac:dyDescent="0.7">
      <c r="Y199" s="27" t="s">
        <v>28</v>
      </c>
      <c r="Z199" s="27" t="s">
        <v>22</v>
      </c>
      <c r="AA199" s="27" t="s">
        <v>512</v>
      </c>
      <c r="AB199" s="27" t="s">
        <v>497</v>
      </c>
      <c r="AC199" s="28" t="s">
        <v>498</v>
      </c>
      <c r="AG199" s="26" t="s">
        <v>301</v>
      </c>
      <c r="AH199" s="26" t="s">
        <v>309</v>
      </c>
    </row>
    <row r="200" spans="25:34" x14ac:dyDescent="0.7">
      <c r="Y200" s="27" t="s">
        <v>21</v>
      </c>
      <c r="Z200" s="27" t="s">
        <v>22</v>
      </c>
      <c r="AA200" s="27" t="s">
        <v>512</v>
      </c>
      <c r="AB200" s="27" t="s">
        <v>9</v>
      </c>
      <c r="AC200" s="28" t="s">
        <v>309</v>
      </c>
      <c r="AG200" s="26" t="s">
        <v>373</v>
      </c>
      <c r="AH200" s="26" t="s">
        <v>309</v>
      </c>
    </row>
    <row r="201" spans="25:34" x14ac:dyDescent="0.7">
      <c r="Y201" s="27" t="s">
        <v>37</v>
      </c>
      <c r="Z201" s="27" t="s">
        <v>22</v>
      </c>
      <c r="AA201" s="27" t="s">
        <v>512</v>
      </c>
      <c r="AB201" s="27" t="s">
        <v>12</v>
      </c>
      <c r="AC201" s="28" t="s">
        <v>309</v>
      </c>
      <c r="AG201" s="26" t="s">
        <v>202</v>
      </c>
      <c r="AH201" s="26" t="s">
        <v>309</v>
      </c>
    </row>
    <row r="202" spans="25:34" x14ac:dyDescent="0.7">
      <c r="Y202" s="27" t="s">
        <v>43</v>
      </c>
      <c r="Z202" s="27" t="s">
        <v>22</v>
      </c>
      <c r="AA202" s="27" t="s">
        <v>512</v>
      </c>
      <c r="AB202" s="27" t="s">
        <v>9</v>
      </c>
      <c r="AC202" s="28" t="s">
        <v>309</v>
      </c>
      <c r="AG202" s="26" t="s">
        <v>263</v>
      </c>
      <c r="AH202" s="26" t="s">
        <v>309</v>
      </c>
    </row>
    <row r="203" spans="25:34" x14ac:dyDescent="0.7">
      <c r="Y203" s="27" t="s">
        <v>55</v>
      </c>
      <c r="Z203" s="27" t="s">
        <v>22</v>
      </c>
      <c r="AA203" s="27" t="s">
        <v>512</v>
      </c>
      <c r="AB203" s="27" t="s">
        <v>9</v>
      </c>
      <c r="AC203" s="28" t="s">
        <v>309</v>
      </c>
      <c r="AG203" s="26" t="s">
        <v>315</v>
      </c>
      <c r="AH203" s="26" t="s">
        <v>309</v>
      </c>
    </row>
    <row r="204" spans="25:34" x14ac:dyDescent="0.7">
      <c r="Y204" s="27" t="s">
        <v>51</v>
      </c>
      <c r="Z204" s="27" t="s">
        <v>22</v>
      </c>
      <c r="AA204" s="27" t="s">
        <v>512</v>
      </c>
      <c r="AB204" s="27" t="s">
        <v>12</v>
      </c>
      <c r="AC204" s="28" t="s">
        <v>309</v>
      </c>
      <c r="AG204" s="26" t="s">
        <v>123</v>
      </c>
      <c r="AH204" s="26" t="s">
        <v>309</v>
      </c>
    </row>
    <row r="205" spans="25:34" x14ac:dyDescent="0.7">
      <c r="Y205" s="27" t="s">
        <v>67</v>
      </c>
      <c r="Z205" s="27" t="s">
        <v>22</v>
      </c>
      <c r="AA205" s="27" t="s">
        <v>512</v>
      </c>
      <c r="AB205" s="27" t="s">
        <v>497</v>
      </c>
      <c r="AC205" s="28" t="s">
        <v>498</v>
      </c>
      <c r="AG205" s="26" t="s">
        <v>374</v>
      </c>
      <c r="AH205" s="26" t="s">
        <v>309</v>
      </c>
    </row>
    <row r="206" spans="25:34" x14ac:dyDescent="0.7">
      <c r="Y206" s="27" t="s">
        <v>53</v>
      </c>
      <c r="Z206" s="27" t="s">
        <v>22</v>
      </c>
      <c r="AA206" s="27" t="s">
        <v>512</v>
      </c>
      <c r="AB206" s="27" t="s">
        <v>8</v>
      </c>
      <c r="AC206" s="28" t="s">
        <v>309</v>
      </c>
      <c r="AG206" s="26" t="s">
        <v>42</v>
      </c>
      <c r="AH206" s="26" t="s">
        <v>309</v>
      </c>
    </row>
    <row r="207" spans="25:34" x14ac:dyDescent="0.7">
      <c r="Y207" s="27" t="s">
        <v>47</v>
      </c>
      <c r="Z207" s="27" t="s">
        <v>22</v>
      </c>
      <c r="AA207" s="27" t="s">
        <v>512</v>
      </c>
      <c r="AB207" s="27" t="s">
        <v>13</v>
      </c>
      <c r="AC207" s="28" t="s">
        <v>309</v>
      </c>
      <c r="AG207" s="26" t="s">
        <v>52</v>
      </c>
      <c r="AH207" s="26" t="s">
        <v>309</v>
      </c>
    </row>
    <row r="208" spans="25:34" x14ac:dyDescent="0.7">
      <c r="Y208" s="35" t="s">
        <v>49</v>
      </c>
      <c r="Z208" s="27" t="s">
        <v>22</v>
      </c>
      <c r="AA208" s="27" t="s">
        <v>512</v>
      </c>
      <c r="AB208" s="27" t="s">
        <v>9</v>
      </c>
      <c r="AC208" s="28" t="s">
        <v>309</v>
      </c>
      <c r="AG208" s="26" t="s">
        <v>375</v>
      </c>
      <c r="AH208" s="26" t="s">
        <v>309</v>
      </c>
    </row>
    <row r="209" spans="25:34" x14ac:dyDescent="0.7">
      <c r="Y209" s="35" t="s">
        <v>41</v>
      </c>
      <c r="Z209" s="27" t="s">
        <v>22</v>
      </c>
      <c r="AA209" s="27" t="s">
        <v>512</v>
      </c>
      <c r="AB209" s="27" t="s">
        <v>10</v>
      </c>
      <c r="AC209" s="28" t="s">
        <v>309</v>
      </c>
      <c r="AG209" s="26" t="s">
        <v>376</v>
      </c>
      <c r="AH209" s="26" t="s">
        <v>309</v>
      </c>
    </row>
    <row r="210" spans="25:34" x14ac:dyDescent="0.7">
      <c r="Y210" s="35" t="s">
        <v>63</v>
      </c>
      <c r="Z210" s="27" t="s">
        <v>22</v>
      </c>
      <c r="AA210" s="27" t="s">
        <v>512</v>
      </c>
      <c r="AB210" s="27" t="s">
        <v>500</v>
      </c>
      <c r="AC210" s="28" t="s">
        <v>498</v>
      </c>
      <c r="AG210" s="26" t="s">
        <v>287</v>
      </c>
      <c r="AH210" s="26" t="s">
        <v>309</v>
      </c>
    </row>
    <row r="211" spans="25:34" x14ac:dyDescent="0.7">
      <c r="Y211" s="35" t="s">
        <v>377</v>
      </c>
      <c r="Z211" s="27" t="s">
        <v>309</v>
      </c>
      <c r="AA211" s="27" t="s">
        <v>495</v>
      </c>
      <c r="AB211" s="27" t="s">
        <v>12</v>
      </c>
      <c r="AC211" s="28" t="s">
        <v>309</v>
      </c>
      <c r="AG211" s="26" t="s">
        <v>340</v>
      </c>
      <c r="AH211" s="26" t="s">
        <v>309</v>
      </c>
    </row>
    <row r="212" spans="25:34" x14ac:dyDescent="0.7">
      <c r="Y212" s="35" t="s">
        <v>33</v>
      </c>
      <c r="Z212" s="27" t="s">
        <v>22</v>
      </c>
      <c r="AA212" s="27" t="s">
        <v>512</v>
      </c>
      <c r="AB212" s="27" t="s">
        <v>9</v>
      </c>
      <c r="AC212" s="28" t="s">
        <v>309</v>
      </c>
      <c r="AG212" s="26" t="s">
        <v>285</v>
      </c>
      <c r="AH212" s="26" t="s">
        <v>309</v>
      </c>
    </row>
    <row r="213" spans="25:34" x14ac:dyDescent="0.7">
      <c r="Y213" s="35" t="s">
        <v>292</v>
      </c>
      <c r="Z213" s="27" t="s">
        <v>19</v>
      </c>
      <c r="AA213" s="27" t="s">
        <v>513</v>
      </c>
      <c r="AB213" s="27" t="s">
        <v>10</v>
      </c>
      <c r="AC213" s="28" t="s">
        <v>309</v>
      </c>
      <c r="AG213" s="26" t="s">
        <v>277</v>
      </c>
      <c r="AH213" s="26" t="s">
        <v>309</v>
      </c>
    </row>
    <row r="214" spans="25:34" x14ac:dyDescent="0.7">
      <c r="Y214" s="35" t="s">
        <v>272</v>
      </c>
      <c r="Z214" s="27" t="s">
        <v>19</v>
      </c>
      <c r="AA214" s="27" t="s">
        <v>513</v>
      </c>
      <c r="AB214" s="27" t="s">
        <v>13</v>
      </c>
      <c r="AC214" s="28" t="s">
        <v>309</v>
      </c>
      <c r="AG214" s="26" t="s">
        <v>117</v>
      </c>
      <c r="AH214" s="26" t="s">
        <v>309</v>
      </c>
    </row>
    <row r="215" spans="25:34" x14ac:dyDescent="0.7">
      <c r="Y215" s="35" t="s">
        <v>378</v>
      </c>
      <c r="Z215" s="27" t="s">
        <v>309</v>
      </c>
      <c r="AA215" s="27">
        <v>0</v>
      </c>
      <c r="AB215" s="27" t="s">
        <v>14</v>
      </c>
      <c r="AC215" s="28" t="s">
        <v>309</v>
      </c>
      <c r="AG215" s="26" t="s">
        <v>379</v>
      </c>
      <c r="AH215" s="26" t="s">
        <v>309</v>
      </c>
    </row>
    <row r="216" spans="25:34" x14ac:dyDescent="0.7">
      <c r="Y216" s="35" t="s">
        <v>268</v>
      </c>
      <c r="Z216" s="27" t="s">
        <v>19</v>
      </c>
      <c r="AA216" s="27" t="s">
        <v>513</v>
      </c>
      <c r="AB216" s="27" t="s">
        <v>9</v>
      </c>
      <c r="AC216" s="28" t="s">
        <v>309</v>
      </c>
      <c r="AG216" s="26" t="s">
        <v>144</v>
      </c>
      <c r="AH216" s="26" t="s">
        <v>309</v>
      </c>
    </row>
    <row r="217" spans="25:34" x14ac:dyDescent="0.7">
      <c r="Y217" s="35" t="s">
        <v>280</v>
      </c>
      <c r="Z217" s="27" t="s">
        <v>19</v>
      </c>
      <c r="AA217" s="27" t="s">
        <v>513</v>
      </c>
      <c r="AB217" s="27" t="s">
        <v>11</v>
      </c>
      <c r="AC217" s="28" t="s">
        <v>309</v>
      </c>
      <c r="AG217" s="26" t="s">
        <v>48</v>
      </c>
      <c r="AH217" s="26" t="s">
        <v>309</v>
      </c>
    </row>
    <row r="218" spans="25:34" x14ac:dyDescent="0.7">
      <c r="Y218" s="35" t="s">
        <v>296</v>
      </c>
      <c r="Z218" s="27" t="s">
        <v>19</v>
      </c>
      <c r="AA218" s="27" t="s">
        <v>513</v>
      </c>
      <c r="AB218" s="27" t="s">
        <v>9</v>
      </c>
      <c r="AC218" s="28" t="s">
        <v>309</v>
      </c>
      <c r="AG218" s="26" t="s">
        <v>380</v>
      </c>
      <c r="AH218" s="26" t="s">
        <v>309</v>
      </c>
    </row>
    <row r="219" spans="25:34" x14ac:dyDescent="0.7">
      <c r="Y219" s="35" t="s">
        <v>288</v>
      </c>
      <c r="Z219" s="27" t="s">
        <v>19</v>
      </c>
      <c r="AA219" s="27" t="s">
        <v>513</v>
      </c>
      <c r="AB219" s="27" t="s">
        <v>12</v>
      </c>
      <c r="AC219" s="28" t="s">
        <v>309</v>
      </c>
      <c r="AG219" s="26" t="s">
        <v>381</v>
      </c>
      <c r="AH219" s="26" t="s">
        <v>309</v>
      </c>
    </row>
    <row r="220" spans="25:34" x14ac:dyDescent="0.7">
      <c r="Y220" s="35" t="s">
        <v>290</v>
      </c>
      <c r="Z220" s="27" t="s">
        <v>19</v>
      </c>
      <c r="AA220" s="27" t="s">
        <v>513</v>
      </c>
      <c r="AB220" s="27" t="s">
        <v>9</v>
      </c>
      <c r="AC220" s="28" t="s">
        <v>309</v>
      </c>
      <c r="AG220" s="26" t="s">
        <v>382</v>
      </c>
      <c r="AH220" s="26" t="s">
        <v>309</v>
      </c>
    </row>
    <row r="221" spans="25:34" x14ac:dyDescent="0.7">
      <c r="Y221" s="35" t="s">
        <v>302</v>
      </c>
      <c r="Z221" s="27" t="s">
        <v>19</v>
      </c>
      <c r="AA221" s="27" t="s">
        <v>513</v>
      </c>
      <c r="AB221" s="27" t="s">
        <v>9</v>
      </c>
      <c r="AC221" s="28" t="s">
        <v>309</v>
      </c>
      <c r="AG221" s="26" t="s">
        <v>293</v>
      </c>
      <c r="AH221" s="26" t="s">
        <v>309</v>
      </c>
    </row>
    <row r="222" spans="25:34" x14ac:dyDescent="0.7">
      <c r="Y222" s="35" t="s">
        <v>145</v>
      </c>
      <c r="Z222" s="27" t="s">
        <v>29</v>
      </c>
      <c r="AA222" s="27" t="s">
        <v>505</v>
      </c>
      <c r="AB222" s="27" t="s">
        <v>13</v>
      </c>
      <c r="AC222" s="28" t="s">
        <v>309</v>
      </c>
      <c r="AG222" s="26" t="s">
        <v>364</v>
      </c>
      <c r="AH222" s="26" t="s">
        <v>309</v>
      </c>
    </row>
    <row r="223" spans="25:34" x14ac:dyDescent="0.7">
      <c r="Y223" s="35" t="s">
        <v>187</v>
      </c>
      <c r="Z223" s="27" t="s">
        <v>26</v>
      </c>
      <c r="AA223" s="27" t="s">
        <v>514</v>
      </c>
      <c r="AB223" s="27" t="s">
        <v>13</v>
      </c>
      <c r="AC223" s="28" t="s">
        <v>309</v>
      </c>
      <c r="AG223" s="26" t="s">
        <v>177</v>
      </c>
      <c r="AH223" s="26" t="s">
        <v>309</v>
      </c>
    </row>
    <row r="224" spans="25:34" x14ac:dyDescent="0.7">
      <c r="Y224" s="35" t="s">
        <v>266</v>
      </c>
      <c r="Z224" s="27" t="s">
        <v>19</v>
      </c>
      <c r="AA224" s="27" t="s">
        <v>513</v>
      </c>
      <c r="AB224" s="27" t="s">
        <v>12</v>
      </c>
      <c r="AC224" s="28" t="s">
        <v>309</v>
      </c>
      <c r="AG224" s="26" t="s">
        <v>383</v>
      </c>
      <c r="AH224" s="26" t="s">
        <v>309</v>
      </c>
    </row>
    <row r="225" spans="25:34" x14ac:dyDescent="0.7">
      <c r="Y225" s="35" t="s">
        <v>274</v>
      </c>
      <c r="Z225" s="27" t="s">
        <v>19</v>
      </c>
      <c r="AA225" s="27" t="s">
        <v>513</v>
      </c>
      <c r="AB225" s="27" t="s">
        <v>12</v>
      </c>
      <c r="AC225" s="28" t="s">
        <v>309</v>
      </c>
      <c r="AG225" s="26" t="s">
        <v>299</v>
      </c>
      <c r="AH225" s="26" t="s">
        <v>309</v>
      </c>
    </row>
    <row r="226" spans="25:34" x14ac:dyDescent="0.7">
      <c r="Y226" s="35" t="s">
        <v>300</v>
      </c>
      <c r="Z226" s="27" t="s">
        <v>19</v>
      </c>
      <c r="AA226" s="27" t="s">
        <v>513</v>
      </c>
      <c r="AB226" s="27" t="s">
        <v>13</v>
      </c>
      <c r="AC226" s="28" t="s">
        <v>309</v>
      </c>
      <c r="AG226" s="26" t="s">
        <v>125</v>
      </c>
      <c r="AH226" s="26" t="s">
        <v>309</v>
      </c>
    </row>
    <row r="227" spans="25:34" x14ac:dyDescent="0.7">
      <c r="Y227" s="35" t="s">
        <v>282</v>
      </c>
      <c r="Z227" s="27" t="s">
        <v>19</v>
      </c>
      <c r="AA227" s="27" t="s">
        <v>513</v>
      </c>
      <c r="AB227" s="27" t="s">
        <v>9</v>
      </c>
      <c r="AC227" s="28" t="s">
        <v>309</v>
      </c>
      <c r="AG227" s="26" t="s">
        <v>384</v>
      </c>
      <c r="AH227" s="26" t="s">
        <v>309</v>
      </c>
    </row>
    <row r="228" spans="25:34" x14ac:dyDescent="0.7">
      <c r="Y228" s="35" t="s">
        <v>260</v>
      </c>
      <c r="Z228" s="27" t="s">
        <v>19</v>
      </c>
      <c r="AA228" s="27" t="s">
        <v>513</v>
      </c>
      <c r="AB228" s="27" t="s">
        <v>9</v>
      </c>
      <c r="AC228" s="28" t="s">
        <v>309</v>
      </c>
      <c r="AG228" s="26" t="s">
        <v>135</v>
      </c>
      <c r="AH228" s="26" t="s">
        <v>309</v>
      </c>
    </row>
    <row r="229" spans="25:34" x14ac:dyDescent="0.7">
      <c r="Y229" s="35" t="s">
        <v>276</v>
      </c>
      <c r="Z229" s="27" t="s">
        <v>19</v>
      </c>
      <c r="AA229" s="27" t="s">
        <v>513</v>
      </c>
      <c r="AB229" s="27" t="s">
        <v>14</v>
      </c>
      <c r="AC229" s="28" t="s">
        <v>309</v>
      </c>
      <c r="AG229" s="26" t="s">
        <v>46</v>
      </c>
      <c r="AH229" s="26" t="s">
        <v>309</v>
      </c>
    </row>
    <row r="230" spans="25:34" x14ac:dyDescent="0.7">
      <c r="Y230" s="35" t="s">
        <v>298</v>
      </c>
      <c r="Z230" s="27" t="s">
        <v>19</v>
      </c>
      <c r="AA230" s="27" t="s">
        <v>513</v>
      </c>
      <c r="AB230" s="27" t="s">
        <v>13</v>
      </c>
      <c r="AC230" s="28" t="s">
        <v>309</v>
      </c>
      <c r="AG230" s="26" t="s">
        <v>257</v>
      </c>
      <c r="AH230" s="26" t="s">
        <v>309</v>
      </c>
    </row>
    <row r="231" spans="25:34" x14ac:dyDescent="0.7">
      <c r="Y231" s="35" t="s">
        <v>262</v>
      </c>
      <c r="Z231" s="27" t="s">
        <v>19</v>
      </c>
      <c r="AA231" s="27" t="s">
        <v>513</v>
      </c>
      <c r="AB231" s="27" t="s">
        <v>12</v>
      </c>
      <c r="AC231" s="28" t="s">
        <v>309</v>
      </c>
      <c r="AG231" s="26" t="s">
        <v>79</v>
      </c>
      <c r="AH231" s="26" t="s">
        <v>309</v>
      </c>
    </row>
    <row r="232" spans="25:34" x14ac:dyDescent="0.7">
      <c r="Y232" s="35" t="s">
        <v>278</v>
      </c>
      <c r="Z232" s="27" t="s">
        <v>19</v>
      </c>
      <c r="AA232" s="27" t="s">
        <v>513</v>
      </c>
      <c r="AB232" s="27" t="s">
        <v>12</v>
      </c>
      <c r="AC232" s="28" t="s">
        <v>309</v>
      </c>
      <c r="AG232" s="26" t="s">
        <v>190</v>
      </c>
      <c r="AH232" s="26" t="s">
        <v>309</v>
      </c>
    </row>
    <row r="233" spans="25:34" x14ac:dyDescent="0.7">
      <c r="Y233" s="27" t="s">
        <v>304</v>
      </c>
      <c r="Z233" s="27" t="s">
        <v>19</v>
      </c>
      <c r="AA233" s="27" t="s">
        <v>513</v>
      </c>
      <c r="AB233" s="27" t="s">
        <v>8</v>
      </c>
      <c r="AC233" s="28" t="s">
        <v>309</v>
      </c>
      <c r="AG233" s="26" t="s">
        <v>267</v>
      </c>
      <c r="AH233" s="26" t="s">
        <v>309</v>
      </c>
    </row>
    <row r="234" spans="25:34" x14ac:dyDescent="0.7">
      <c r="Y234" s="27" t="s">
        <v>270</v>
      </c>
      <c r="Z234" s="27" t="s">
        <v>19</v>
      </c>
      <c r="AA234" s="27" t="s">
        <v>513</v>
      </c>
      <c r="AB234" s="27" t="s">
        <v>12</v>
      </c>
      <c r="AC234" s="28" t="s">
        <v>309</v>
      </c>
      <c r="AG234" s="26" t="s">
        <v>385</v>
      </c>
      <c r="AH234" s="26" t="s">
        <v>309</v>
      </c>
    </row>
    <row r="235" spans="25:34" x14ac:dyDescent="0.7">
      <c r="Y235" s="27" t="s">
        <v>284</v>
      </c>
      <c r="Z235" s="27" t="s">
        <v>19</v>
      </c>
      <c r="AA235" s="27" t="s">
        <v>513</v>
      </c>
      <c r="AB235" s="27" t="s">
        <v>11</v>
      </c>
      <c r="AC235" s="28" t="s">
        <v>309</v>
      </c>
      <c r="AG235" s="26" t="s">
        <v>64</v>
      </c>
      <c r="AH235" s="26" t="s">
        <v>309</v>
      </c>
    </row>
    <row r="236" spans="25:34" x14ac:dyDescent="0.7">
      <c r="Y236" s="27" t="s">
        <v>264</v>
      </c>
      <c r="Z236" s="27" t="s">
        <v>19</v>
      </c>
      <c r="AA236" s="27" t="s">
        <v>513</v>
      </c>
      <c r="AB236" s="27" t="s">
        <v>9</v>
      </c>
      <c r="AC236" s="28" t="s">
        <v>309</v>
      </c>
      <c r="AG236" s="26" t="s">
        <v>83</v>
      </c>
      <c r="AH236" s="26" t="s">
        <v>309</v>
      </c>
    </row>
    <row r="237" spans="25:34" x14ac:dyDescent="0.7">
      <c r="Y237" s="27" t="s">
        <v>386</v>
      </c>
      <c r="Z237" s="27" t="s">
        <v>309</v>
      </c>
      <c r="AA237" s="27" t="s">
        <v>515</v>
      </c>
      <c r="AB237" s="27" t="s">
        <v>9</v>
      </c>
      <c r="AC237" s="28" t="s">
        <v>309</v>
      </c>
      <c r="AG237" s="26" t="s">
        <v>20</v>
      </c>
      <c r="AH237" s="26" t="s">
        <v>309</v>
      </c>
    </row>
    <row r="238" spans="25:34" x14ac:dyDescent="0.7">
      <c r="Y238" s="27" t="s">
        <v>387</v>
      </c>
      <c r="Z238" s="27" t="s">
        <v>309</v>
      </c>
      <c r="AA238" s="27" t="s">
        <v>515</v>
      </c>
      <c r="AB238" s="27" t="s">
        <v>13</v>
      </c>
      <c r="AC238" s="28" t="s">
        <v>309</v>
      </c>
      <c r="AG238" s="26" t="s">
        <v>318</v>
      </c>
      <c r="AH238" s="26" t="s">
        <v>309</v>
      </c>
    </row>
    <row r="239" spans="25:34" x14ac:dyDescent="0.7">
      <c r="Y239" s="27" t="s">
        <v>388</v>
      </c>
      <c r="Z239" s="27" t="s">
        <v>309</v>
      </c>
      <c r="AA239" s="27" t="s">
        <v>515</v>
      </c>
      <c r="AB239" s="27" t="s">
        <v>11</v>
      </c>
      <c r="AC239" s="28" t="s">
        <v>309</v>
      </c>
      <c r="AG239" s="26" t="s">
        <v>322</v>
      </c>
      <c r="AH239" s="26" t="s">
        <v>309</v>
      </c>
    </row>
    <row r="240" spans="25:34" x14ac:dyDescent="0.7">
      <c r="Y240" s="27" t="s">
        <v>389</v>
      </c>
      <c r="Z240" s="27" t="s">
        <v>309</v>
      </c>
      <c r="AA240" s="27" t="s">
        <v>515</v>
      </c>
      <c r="AB240" s="27" t="s">
        <v>504</v>
      </c>
      <c r="AC240" s="28" t="s">
        <v>498</v>
      </c>
      <c r="AG240" s="26" t="s">
        <v>283</v>
      </c>
      <c r="AH240" s="26" t="s">
        <v>309</v>
      </c>
    </row>
    <row r="241" spans="25:34" x14ac:dyDescent="0.7">
      <c r="Y241" s="27" t="s">
        <v>390</v>
      </c>
      <c r="Z241" s="27" t="s">
        <v>309</v>
      </c>
      <c r="AA241" s="27" t="s">
        <v>515</v>
      </c>
      <c r="AB241" s="27" t="s">
        <v>10</v>
      </c>
      <c r="AC241" s="28" t="s">
        <v>309</v>
      </c>
      <c r="AG241" s="26" t="s">
        <v>93</v>
      </c>
      <c r="AH241" s="26" t="s">
        <v>309</v>
      </c>
    </row>
    <row r="242" spans="25:34" x14ac:dyDescent="0.7">
      <c r="Y242" s="27" t="s">
        <v>382</v>
      </c>
      <c r="Z242" s="27" t="s">
        <v>309</v>
      </c>
      <c r="AA242" s="27" t="s">
        <v>515</v>
      </c>
      <c r="AB242" s="27" t="s">
        <v>8</v>
      </c>
      <c r="AC242" s="28" t="s">
        <v>309</v>
      </c>
      <c r="AG242" s="26" t="s">
        <v>54</v>
      </c>
      <c r="AH242" s="26" t="s">
        <v>309</v>
      </c>
    </row>
    <row r="243" spans="25:34" x14ac:dyDescent="0.7">
      <c r="Y243" s="27" t="s">
        <v>391</v>
      </c>
      <c r="Z243" s="27" t="s">
        <v>309</v>
      </c>
      <c r="AA243" s="27" t="s">
        <v>515</v>
      </c>
      <c r="AB243" s="27" t="s">
        <v>497</v>
      </c>
      <c r="AC243" s="28" t="s">
        <v>498</v>
      </c>
      <c r="AG243" s="26" t="s">
        <v>241</v>
      </c>
      <c r="AH243" s="26" t="s">
        <v>309</v>
      </c>
    </row>
    <row r="244" spans="25:34" x14ac:dyDescent="0.7">
      <c r="Y244" s="27" t="s">
        <v>392</v>
      </c>
      <c r="Z244" s="27" t="s">
        <v>309</v>
      </c>
      <c r="AA244" s="27" t="s">
        <v>515</v>
      </c>
      <c r="AB244" s="27" t="s">
        <v>12</v>
      </c>
      <c r="AC244" s="28" t="s">
        <v>309</v>
      </c>
      <c r="AG244" s="26" t="s">
        <v>393</v>
      </c>
      <c r="AH244" s="26" t="s">
        <v>309</v>
      </c>
    </row>
    <row r="245" spans="25:34" x14ac:dyDescent="0.7">
      <c r="Y245" s="27" t="s">
        <v>394</v>
      </c>
      <c r="Z245" s="27" t="s">
        <v>309</v>
      </c>
      <c r="AA245" s="27" t="s">
        <v>515</v>
      </c>
      <c r="AB245" s="27" t="s">
        <v>503</v>
      </c>
      <c r="AC245" s="28" t="s">
        <v>498</v>
      </c>
      <c r="AG245" s="26" t="s">
        <v>395</v>
      </c>
      <c r="AH245" s="26" t="s">
        <v>309</v>
      </c>
    </row>
    <row r="246" spans="25:34" x14ac:dyDescent="0.7">
      <c r="Y246" s="27" t="s">
        <v>396</v>
      </c>
      <c r="Z246" s="27" t="s">
        <v>309</v>
      </c>
      <c r="AA246" s="27" t="s">
        <v>515</v>
      </c>
      <c r="AB246" s="27" t="s">
        <v>497</v>
      </c>
      <c r="AC246" s="28" t="s">
        <v>498</v>
      </c>
      <c r="AG246" s="26" t="s">
        <v>337</v>
      </c>
      <c r="AH246" s="26" t="s">
        <v>309</v>
      </c>
    </row>
    <row r="247" spans="25:34" x14ac:dyDescent="0.7">
      <c r="Y247" s="27" t="s">
        <v>397</v>
      </c>
      <c r="Z247" s="27" t="s">
        <v>309</v>
      </c>
      <c r="AA247" s="27" t="s">
        <v>515</v>
      </c>
      <c r="AB247" s="27" t="s">
        <v>9</v>
      </c>
      <c r="AC247" s="28" t="s">
        <v>309</v>
      </c>
      <c r="AG247" s="26" t="s">
        <v>398</v>
      </c>
      <c r="AH247" s="26" t="s">
        <v>309</v>
      </c>
    </row>
    <row r="248" spans="25:34" x14ac:dyDescent="0.7">
      <c r="Y248" s="27" t="s">
        <v>399</v>
      </c>
      <c r="Z248" s="27" t="s">
        <v>309</v>
      </c>
      <c r="AA248" s="27" t="s">
        <v>515</v>
      </c>
      <c r="AB248" s="27" t="s">
        <v>14</v>
      </c>
      <c r="AC248" s="28" t="s">
        <v>309</v>
      </c>
      <c r="AG248" s="26" t="s">
        <v>198</v>
      </c>
      <c r="AH248" s="26" t="s">
        <v>309</v>
      </c>
    </row>
    <row r="249" spans="25:34" x14ac:dyDescent="0.7">
      <c r="Y249" s="27" t="s">
        <v>400</v>
      </c>
      <c r="Z249" s="27" t="s">
        <v>309</v>
      </c>
      <c r="AA249" s="27" t="s">
        <v>515</v>
      </c>
      <c r="AB249" s="27" t="s">
        <v>13</v>
      </c>
      <c r="AC249" s="28" t="s">
        <v>309</v>
      </c>
      <c r="AG249" s="26" t="s">
        <v>255</v>
      </c>
      <c r="AH249" s="26" t="s">
        <v>309</v>
      </c>
    </row>
    <row r="250" spans="25:34" x14ac:dyDescent="0.7">
      <c r="Y250" s="27" t="s">
        <v>401</v>
      </c>
      <c r="Z250" s="27" t="s">
        <v>309</v>
      </c>
      <c r="AA250" s="27" t="s">
        <v>515</v>
      </c>
      <c r="AB250" s="27" t="s">
        <v>12</v>
      </c>
      <c r="AC250" s="28" t="s">
        <v>309</v>
      </c>
      <c r="AG250" s="26" t="s">
        <v>402</v>
      </c>
      <c r="AH250" s="26" t="s">
        <v>309</v>
      </c>
    </row>
    <row r="251" spans="25:34" x14ac:dyDescent="0.7">
      <c r="Y251" s="27" t="s">
        <v>369</v>
      </c>
      <c r="Z251" s="27" t="s">
        <v>309</v>
      </c>
      <c r="AA251" s="27" t="s">
        <v>515</v>
      </c>
      <c r="AB251" s="27" t="s">
        <v>9</v>
      </c>
      <c r="AC251" s="28" t="s">
        <v>309</v>
      </c>
      <c r="AG251" s="26" t="s">
        <v>235</v>
      </c>
      <c r="AH251" s="26" t="s">
        <v>309</v>
      </c>
    </row>
    <row r="252" spans="25:34" x14ac:dyDescent="0.7">
      <c r="Y252" s="27" t="s">
        <v>403</v>
      </c>
      <c r="Z252" s="27" t="s">
        <v>309</v>
      </c>
      <c r="AA252" s="27" t="s">
        <v>515</v>
      </c>
      <c r="AB252" s="27" t="s">
        <v>9</v>
      </c>
      <c r="AC252" s="28" t="s">
        <v>309</v>
      </c>
      <c r="AG252" s="26" t="s">
        <v>389</v>
      </c>
      <c r="AH252" s="26" t="s">
        <v>309</v>
      </c>
    </row>
    <row r="253" spans="25:34" x14ac:dyDescent="0.7">
      <c r="Y253" s="27" t="s">
        <v>398</v>
      </c>
      <c r="Z253" s="27" t="s">
        <v>309</v>
      </c>
      <c r="AA253" s="27" t="s">
        <v>515</v>
      </c>
      <c r="AB253" s="27" t="s">
        <v>497</v>
      </c>
      <c r="AC253" s="28" t="s">
        <v>498</v>
      </c>
      <c r="AG253" s="26" t="s">
        <v>390</v>
      </c>
      <c r="AH253" s="26" t="s">
        <v>309</v>
      </c>
    </row>
    <row r="254" spans="25:34" x14ac:dyDescent="0.7">
      <c r="Y254" s="27" t="s">
        <v>404</v>
      </c>
      <c r="Z254" s="27" t="s">
        <v>309</v>
      </c>
      <c r="AA254" s="27" t="s">
        <v>515</v>
      </c>
      <c r="AB254" s="27" t="s">
        <v>13</v>
      </c>
      <c r="AC254" s="28" t="s">
        <v>309</v>
      </c>
      <c r="AG254" s="26" t="s">
        <v>331</v>
      </c>
      <c r="AH254" s="26" t="s">
        <v>309</v>
      </c>
    </row>
    <row r="255" spans="25:34" x14ac:dyDescent="0.7">
      <c r="Y255" s="27" t="s">
        <v>405</v>
      </c>
      <c r="Z255" s="27" t="s">
        <v>309</v>
      </c>
      <c r="AA255" s="27" t="s">
        <v>515</v>
      </c>
      <c r="AB255" s="27" t="s">
        <v>13</v>
      </c>
      <c r="AC255" s="28" t="s">
        <v>309</v>
      </c>
      <c r="AG255" s="26" t="s">
        <v>34</v>
      </c>
      <c r="AH255" s="26" t="s">
        <v>309</v>
      </c>
    </row>
    <row r="256" spans="25:34" x14ac:dyDescent="0.7">
      <c r="Y256" s="27" t="s">
        <v>406</v>
      </c>
      <c r="Z256" s="27" t="s">
        <v>309</v>
      </c>
      <c r="AA256" s="27" t="s">
        <v>515</v>
      </c>
      <c r="AB256" s="27" t="s">
        <v>12</v>
      </c>
      <c r="AC256" s="28" t="s">
        <v>309</v>
      </c>
      <c r="AG256" s="26" t="s">
        <v>121</v>
      </c>
      <c r="AH256" s="26" t="s">
        <v>309</v>
      </c>
    </row>
    <row r="257" spans="25:34" x14ac:dyDescent="0.7">
      <c r="Y257" s="27" t="s">
        <v>402</v>
      </c>
      <c r="Z257" s="27" t="s">
        <v>309</v>
      </c>
      <c r="AA257" s="27" t="s">
        <v>515</v>
      </c>
      <c r="AB257" s="27" t="s">
        <v>9</v>
      </c>
      <c r="AC257" s="28" t="s">
        <v>309</v>
      </c>
      <c r="AG257" s="26" t="s">
        <v>206</v>
      </c>
      <c r="AH257" s="26" t="s">
        <v>309</v>
      </c>
    </row>
    <row r="258" spans="25:34" x14ac:dyDescent="0.7">
      <c r="Y258" s="35" t="s">
        <v>347</v>
      </c>
      <c r="Z258" s="27" t="s">
        <v>309</v>
      </c>
      <c r="AA258" s="27" t="s">
        <v>515</v>
      </c>
      <c r="AB258" s="27" t="s">
        <v>10</v>
      </c>
      <c r="AC258" s="28" t="s">
        <v>309</v>
      </c>
      <c r="AG258" s="26" t="s">
        <v>366</v>
      </c>
      <c r="AH258" s="26" t="s">
        <v>309</v>
      </c>
    </row>
    <row r="259" spans="25:34" x14ac:dyDescent="0.7">
      <c r="Y259" s="35" t="s">
        <v>215</v>
      </c>
      <c r="Z259" s="27" t="s">
        <v>26</v>
      </c>
      <c r="AA259" s="27" t="s">
        <v>514</v>
      </c>
      <c r="AB259" s="27" t="s">
        <v>11</v>
      </c>
      <c r="AC259" s="28" t="s">
        <v>309</v>
      </c>
      <c r="AG259" s="26" t="s">
        <v>407</v>
      </c>
      <c r="AH259" s="26" t="s">
        <v>309</v>
      </c>
    </row>
    <row r="260" spans="25:34" x14ac:dyDescent="0.7">
      <c r="Y260" s="35" t="s">
        <v>363</v>
      </c>
      <c r="Z260" s="27" t="s">
        <v>309</v>
      </c>
      <c r="AA260" s="27" t="s">
        <v>515</v>
      </c>
      <c r="AB260" s="27" t="s">
        <v>9</v>
      </c>
      <c r="AC260" s="28" t="s">
        <v>309</v>
      </c>
      <c r="AG260" s="26" t="s">
        <v>105</v>
      </c>
      <c r="AH260" s="26" t="s">
        <v>309</v>
      </c>
    </row>
    <row r="261" spans="25:34" x14ac:dyDescent="0.7">
      <c r="Y261" s="35" t="s">
        <v>395</v>
      </c>
      <c r="Z261" s="27" t="s">
        <v>309</v>
      </c>
      <c r="AA261" s="27" t="s">
        <v>515</v>
      </c>
      <c r="AB261" s="27" t="s">
        <v>12</v>
      </c>
      <c r="AC261" s="28" t="s">
        <v>309</v>
      </c>
      <c r="AG261" s="26" t="s">
        <v>408</v>
      </c>
      <c r="AH261" s="26" t="s">
        <v>309</v>
      </c>
    </row>
    <row r="262" spans="25:34" x14ac:dyDescent="0.7">
      <c r="Y262" s="35" t="s">
        <v>88</v>
      </c>
      <c r="Z262" s="27" t="s">
        <v>3</v>
      </c>
      <c r="AA262" s="27" t="s">
        <v>496</v>
      </c>
      <c r="AB262" s="27" t="s">
        <v>14</v>
      </c>
      <c r="AC262" s="28" t="s">
        <v>309</v>
      </c>
      <c r="AG262" s="26" t="s">
        <v>313</v>
      </c>
      <c r="AH262" s="26" t="s">
        <v>309</v>
      </c>
    </row>
    <row r="263" spans="25:34" x14ac:dyDescent="0.7">
      <c r="Y263" s="35" t="s">
        <v>112</v>
      </c>
      <c r="Z263" s="27" t="s">
        <v>3</v>
      </c>
      <c r="AA263" s="27" t="s">
        <v>496</v>
      </c>
      <c r="AB263" s="27" t="s">
        <v>9</v>
      </c>
      <c r="AC263" s="28" t="s">
        <v>309</v>
      </c>
      <c r="AG263" s="26" t="s">
        <v>113</v>
      </c>
      <c r="AH263" s="26" t="s">
        <v>309</v>
      </c>
    </row>
    <row r="264" spans="25:34" x14ac:dyDescent="0.7">
      <c r="Y264" s="35" t="s">
        <v>78</v>
      </c>
      <c r="Z264" s="27" t="s">
        <v>3</v>
      </c>
      <c r="AA264" s="27" t="s">
        <v>496</v>
      </c>
      <c r="AB264" s="27" t="s">
        <v>497</v>
      </c>
      <c r="AC264" s="28" t="s">
        <v>498</v>
      </c>
      <c r="AG264" s="26" t="s">
        <v>115</v>
      </c>
      <c r="AH264" s="26" t="s">
        <v>309</v>
      </c>
    </row>
    <row r="265" spans="25:34" x14ac:dyDescent="0.7">
      <c r="Y265" s="35" t="s">
        <v>118</v>
      </c>
      <c r="Z265" s="27" t="s">
        <v>3</v>
      </c>
      <c r="AA265" s="27" t="s">
        <v>496</v>
      </c>
      <c r="AB265" s="27" t="s">
        <v>12</v>
      </c>
      <c r="AC265" s="28" t="s">
        <v>309</v>
      </c>
      <c r="AG265" s="26" t="s">
        <v>137</v>
      </c>
      <c r="AH265" s="26" t="s">
        <v>309</v>
      </c>
    </row>
    <row r="266" spans="25:34" x14ac:dyDescent="0.7">
      <c r="Y266" s="35" t="s">
        <v>108</v>
      </c>
      <c r="Z266" s="27" t="s">
        <v>3</v>
      </c>
      <c r="AA266" s="27" t="s">
        <v>496</v>
      </c>
      <c r="AB266" s="27" t="s">
        <v>9</v>
      </c>
      <c r="AC266" s="28" t="s">
        <v>309</v>
      </c>
      <c r="AG266" s="26" t="s">
        <v>409</v>
      </c>
      <c r="AH266" s="26" t="s">
        <v>309</v>
      </c>
    </row>
    <row r="267" spans="25:34" x14ac:dyDescent="0.7">
      <c r="Y267" s="35" t="s">
        <v>80</v>
      </c>
      <c r="Z267" s="27" t="s">
        <v>3</v>
      </c>
      <c r="AA267" s="27" t="s">
        <v>496</v>
      </c>
      <c r="AB267" s="27" t="s">
        <v>8</v>
      </c>
      <c r="AC267" s="28" t="s">
        <v>309</v>
      </c>
      <c r="AG267" s="26" t="s">
        <v>40</v>
      </c>
      <c r="AH267" s="26" t="s">
        <v>309</v>
      </c>
    </row>
    <row r="268" spans="25:34" x14ac:dyDescent="0.7">
      <c r="Y268" s="35" t="s">
        <v>73</v>
      </c>
      <c r="Z268" s="27" t="s">
        <v>3</v>
      </c>
      <c r="AA268" s="27" t="s">
        <v>496</v>
      </c>
      <c r="AB268" s="27" t="s">
        <v>13</v>
      </c>
      <c r="AC268" s="28" t="s">
        <v>309</v>
      </c>
      <c r="AG268" s="26" t="s">
        <v>233</v>
      </c>
      <c r="AH268" s="26" t="s">
        <v>309</v>
      </c>
    </row>
    <row r="269" spans="25:34" x14ac:dyDescent="0.7">
      <c r="Y269" s="35" t="s">
        <v>100</v>
      </c>
      <c r="Z269" s="27" t="s">
        <v>3</v>
      </c>
      <c r="AA269" s="27" t="s">
        <v>496</v>
      </c>
      <c r="AB269" s="27" t="s">
        <v>12</v>
      </c>
      <c r="AC269" s="28" t="s">
        <v>309</v>
      </c>
      <c r="AG269" s="26" t="s">
        <v>129</v>
      </c>
      <c r="AH269" s="26" t="s">
        <v>309</v>
      </c>
    </row>
    <row r="270" spans="25:34" x14ac:dyDescent="0.7">
      <c r="Y270" s="35" t="s">
        <v>94</v>
      </c>
      <c r="Z270" s="27" t="s">
        <v>3</v>
      </c>
      <c r="AA270" s="27" t="s">
        <v>496</v>
      </c>
      <c r="AB270" s="27" t="s">
        <v>13</v>
      </c>
      <c r="AC270" s="28" t="s">
        <v>309</v>
      </c>
      <c r="AG270" s="26" t="s">
        <v>253</v>
      </c>
      <c r="AH270" s="26" t="s">
        <v>309</v>
      </c>
    </row>
    <row r="271" spans="25:34" x14ac:dyDescent="0.7">
      <c r="Y271" s="35" t="s">
        <v>104</v>
      </c>
      <c r="Z271" s="27" t="s">
        <v>3</v>
      </c>
      <c r="AA271" s="27" t="s">
        <v>496</v>
      </c>
      <c r="AB271" s="27" t="s">
        <v>14</v>
      </c>
      <c r="AC271" s="28" t="s">
        <v>309</v>
      </c>
      <c r="AG271" s="26" t="s">
        <v>410</v>
      </c>
      <c r="AH271" s="26" t="s">
        <v>309</v>
      </c>
    </row>
    <row r="272" spans="25:34" x14ac:dyDescent="0.7">
      <c r="Y272" s="35" t="s">
        <v>82</v>
      </c>
      <c r="Z272" s="27" t="s">
        <v>3</v>
      </c>
      <c r="AA272" s="27" t="s">
        <v>496</v>
      </c>
      <c r="AB272" s="27" t="s">
        <v>11</v>
      </c>
      <c r="AC272" s="28" t="s">
        <v>309</v>
      </c>
      <c r="AG272" s="26" t="s">
        <v>411</v>
      </c>
      <c r="AH272" s="26" t="s">
        <v>309</v>
      </c>
    </row>
    <row r="273" spans="25:34" x14ac:dyDescent="0.7">
      <c r="Y273" s="35" t="s">
        <v>110</v>
      </c>
      <c r="Z273" s="27" t="s">
        <v>3</v>
      </c>
      <c r="AA273" s="27" t="s">
        <v>496</v>
      </c>
      <c r="AB273" s="27" t="s">
        <v>12</v>
      </c>
      <c r="AC273" s="28" t="s">
        <v>309</v>
      </c>
      <c r="AG273" s="26" t="s">
        <v>412</v>
      </c>
      <c r="AH273" s="26" t="s">
        <v>309</v>
      </c>
    </row>
    <row r="274" spans="25:34" x14ac:dyDescent="0.7">
      <c r="Y274" s="35" t="s">
        <v>116</v>
      </c>
      <c r="Z274" s="27" t="s">
        <v>3</v>
      </c>
      <c r="AA274" s="27" t="s">
        <v>496</v>
      </c>
      <c r="AB274" s="27" t="s">
        <v>9</v>
      </c>
      <c r="AC274" s="28" t="s">
        <v>309</v>
      </c>
      <c r="AG274" s="26" t="s">
        <v>195</v>
      </c>
      <c r="AH274" s="26" t="s">
        <v>309</v>
      </c>
    </row>
    <row r="275" spans="25:34" x14ac:dyDescent="0.7">
      <c r="Y275" s="35" t="s">
        <v>102</v>
      </c>
      <c r="Z275" s="27" t="s">
        <v>3</v>
      </c>
      <c r="AA275" s="27" t="s">
        <v>496</v>
      </c>
      <c r="AB275" s="27" t="s">
        <v>12</v>
      </c>
      <c r="AC275" s="28" t="s">
        <v>309</v>
      </c>
      <c r="AG275" s="26" t="s">
        <v>324</v>
      </c>
      <c r="AH275" s="26" t="s">
        <v>309</v>
      </c>
    </row>
    <row r="276" spans="25:34" x14ac:dyDescent="0.7">
      <c r="Y276" s="35" t="s">
        <v>114</v>
      </c>
      <c r="Z276" s="27" t="s">
        <v>3</v>
      </c>
      <c r="AA276" s="27" t="s">
        <v>496</v>
      </c>
      <c r="AB276" s="27" t="s">
        <v>14</v>
      </c>
      <c r="AC276" s="28" t="s">
        <v>309</v>
      </c>
      <c r="AG276" s="26" t="s">
        <v>413</v>
      </c>
      <c r="AH276" s="26" t="s">
        <v>309</v>
      </c>
    </row>
    <row r="277" spans="25:34" x14ac:dyDescent="0.7">
      <c r="Y277" s="35" t="s">
        <v>75</v>
      </c>
      <c r="Z277" s="27" t="s">
        <v>3</v>
      </c>
      <c r="AA277" s="27" t="s">
        <v>496</v>
      </c>
      <c r="AB277" s="27" t="s">
        <v>8</v>
      </c>
      <c r="AC277" s="28" t="s">
        <v>309</v>
      </c>
      <c r="AG277" s="26" t="s">
        <v>265</v>
      </c>
      <c r="AH277" s="26" t="s">
        <v>309</v>
      </c>
    </row>
    <row r="278" spans="25:34" x14ac:dyDescent="0.7">
      <c r="Y278" s="35" t="s">
        <v>84</v>
      </c>
      <c r="Z278" s="27" t="s">
        <v>3</v>
      </c>
      <c r="AA278" s="27" t="s">
        <v>496</v>
      </c>
      <c r="AB278" s="27" t="s">
        <v>10</v>
      </c>
      <c r="AC278" s="28" t="s">
        <v>309</v>
      </c>
      <c r="AG278" s="26" t="s">
        <v>24</v>
      </c>
      <c r="AH278" s="26" t="s">
        <v>309</v>
      </c>
    </row>
    <row r="279" spans="25:34" x14ac:dyDescent="0.7">
      <c r="Y279" s="35" t="s">
        <v>90</v>
      </c>
      <c r="Z279" s="27" t="s">
        <v>3</v>
      </c>
      <c r="AA279" s="27" t="s">
        <v>496</v>
      </c>
      <c r="AB279" s="27" t="s">
        <v>9</v>
      </c>
      <c r="AC279" s="28" t="s">
        <v>309</v>
      </c>
      <c r="AG279" s="26" t="s">
        <v>414</v>
      </c>
      <c r="AH279" s="26" t="s">
        <v>309</v>
      </c>
    </row>
    <row r="280" spans="25:34" x14ac:dyDescent="0.7">
      <c r="Y280" s="35" t="s">
        <v>106</v>
      </c>
      <c r="Z280" s="27" t="s">
        <v>3</v>
      </c>
      <c r="AA280" s="27" t="s">
        <v>496</v>
      </c>
      <c r="AB280" s="27" t="s">
        <v>9</v>
      </c>
      <c r="AC280" s="28" t="s">
        <v>309</v>
      </c>
      <c r="AG280" s="26" t="s">
        <v>403</v>
      </c>
      <c r="AH280" s="26" t="s">
        <v>309</v>
      </c>
    </row>
    <row r="281" spans="25:34" x14ac:dyDescent="0.7">
      <c r="Y281" s="35" t="s">
        <v>92</v>
      </c>
      <c r="Z281" s="27" t="s">
        <v>3</v>
      </c>
      <c r="AA281" s="27" t="s">
        <v>496</v>
      </c>
      <c r="AB281" s="27" t="s">
        <v>13</v>
      </c>
      <c r="AC281" s="28" t="s">
        <v>309</v>
      </c>
      <c r="AG281" s="26" t="s">
        <v>415</v>
      </c>
      <c r="AH281" s="26" t="s">
        <v>309</v>
      </c>
    </row>
    <row r="282" spans="25:34" x14ac:dyDescent="0.7">
      <c r="Y282" s="35" t="s">
        <v>98</v>
      </c>
      <c r="Z282" s="27" t="s">
        <v>3</v>
      </c>
      <c r="AA282" s="27" t="s">
        <v>496</v>
      </c>
      <c r="AB282" s="27" t="s">
        <v>9</v>
      </c>
      <c r="AC282" s="28" t="s">
        <v>309</v>
      </c>
      <c r="AG282" s="26" t="s">
        <v>336</v>
      </c>
      <c r="AH282" s="26" t="s">
        <v>309</v>
      </c>
    </row>
    <row r="283" spans="25:34" x14ac:dyDescent="0.7">
      <c r="Y283" s="27" t="s">
        <v>96</v>
      </c>
      <c r="Z283" s="27" t="s">
        <v>3</v>
      </c>
      <c r="AA283" s="27" t="s">
        <v>496</v>
      </c>
      <c r="AB283" s="27" t="s">
        <v>8</v>
      </c>
      <c r="AC283" s="28" t="s">
        <v>309</v>
      </c>
      <c r="AG283" s="26" t="s">
        <v>348</v>
      </c>
      <c r="AH283" s="26" t="s">
        <v>309</v>
      </c>
    </row>
    <row r="284" spans="25:34" x14ac:dyDescent="0.7">
      <c r="Y284" s="27" t="s">
        <v>86</v>
      </c>
      <c r="Z284" s="27" t="s">
        <v>3</v>
      </c>
      <c r="AA284" s="27" t="s">
        <v>496</v>
      </c>
      <c r="AB284" s="27" t="s">
        <v>12</v>
      </c>
      <c r="AC284" s="28" t="s">
        <v>309</v>
      </c>
      <c r="AG284" s="26" t="s">
        <v>416</v>
      </c>
      <c r="AH284" s="26" t="s">
        <v>309</v>
      </c>
    </row>
    <row r="285" spans="25:34" x14ac:dyDescent="0.7">
      <c r="Y285" s="27" t="s">
        <v>383</v>
      </c>
      <c r="Z285" s="27" t="s">
        <v>309</v>
      </c>
      <c r="AA285" s="27" t="s">
        <v>516</v>
      </c>
      <c r="AB285" s="27" t="s">
        <v>12</v>
      </c>
      <c r="AC285" s="28" t="s">
        <v>309</v>
      </c>
      <c r="AG285" s="26" t="s">
        <v>352</v>
      </c>
      <c r="AH285" s="26" t="s">
        <v>309</v>
      </c>
    </row>
    <row r="286" spans="25:34" x14ac:dyDescent="0.7">
      <c r="Y286" s="27" t="s">
        <v>417</v>
      </c>
      <c r="Z286" s="27" t="s">
        <v>309</v>
      </c>
      <c r="AA286" s="27" t="s">
        <v>516</v>
      </c>
      <c r="AB286" s="27" t="s">
        <v>12</v>
      </c>
      <c r="AC286" s="28" t="s">
        <v>309</v>
      </c>
      <c r="AG286" s="26" t="s">
        <v>60</v>
      </c>
      <c r="AH286" s="26" t="s">
        <v>309</v>
      </c>
    </row>
    <row r="287" spans="25:34" x14ac:dyDescent="0.7">
      <c r="Y287" s="27" t="s">
        <v>376</v>
      </c>
      <c r="Z287" s="27" t="s">
        <v>309</v>
      </c>
      <c r="AA287" s="27" t="s">
        <v>516</v>
      </c>
      <c r="AB287" s="27" t="s">
        <v>10</v>
      </c>
      <c r="AC287" s="28" t="s">
        <v>309</v>
      </c>
      <c r="AG287" s="26" t="s">
        <v>355</v>
      </c>
      <c r="AH287" s="26" t="s">
        <v>309</v>
      </c>
    </row>
    <row r="288" spans="25:34" x14ac:dyDescent="0.7">
      <c r="Y288" s="27" t="s">
        <v>418</v>
      </c>
      <c r="Z288" s="27" t="s">
        <v>309</v>
      </c>
      <c r="AA288" s="27" t="s">
        <v>516</v>
      </c>
      <c r="AB288" s="27" t="s">
        <v>13</v>
      </c>
      <c r="AC288" s="28" t="s">
        <v>309</v>
      </c>
      <c r="AG288" s="26" t="s">
        <v>329</v>
      </c>
      <c r="AH288" s="26" t="s">
        <v>309</v>
      </c>
    </row>
    <row r="289" spans="25:34" x14ac:dyDescent="0.7">
      <c r="Y289" s="27" t="s">
        <v>325</v>
      </c>
      <c r="Z289" s="27" t="s">
        <v>309</v>
      </c>
      <c r="AA289" s="27" t="s">
        <v>516</v>
      </c>
      <c r="AB289" s="27" t="s">
        <v>12</v>
      </c>
      <c r="AC289" s="28" t="s">
        <v>309</v>
      </c>
      <c r="AG289" s="26" t="s">
        <v>305</v>
      </c>
      <c r="AH289" s="26" t="s">
        <v>309</v>
      </c>
    </row>
    <row r="290" spans="25:34" x14ac:dyDescent="0.7">
      <c r="Y290" s="27" t="s">
        <v>419</v>
      </c>
      <c r="Z290" s="27" t="s">
        <v>309</v>
      </c>
      <c r="AA290" s="27" t="s">
        <v>516</v>
      </c>
      <c r="AB290" s="27" t="s">
        <v>12</v>
      </c>
      <c r="AC290" s="28" t="s">
        <v>309</v>
      </c>
      <c r="AG290" s="26" t="s">
        <v>420</v>
      </c>
      <c r="AH290" s="26" t="s">
        <v>309</v>
      </c>
    </row>
    <row r="291" spans="25:34" x14ac:dyDescent="0.7">
      <c r="Y291" s="27" t="s">
        <v>339</v>
      </c>
      <c r="Z291" s="27" t="s">
        <v>309</v>
      </c>
      <c r="AA291" s="27" t="s">
        <v>516</v>
      </c>
      <c r="AB291" s="27" t="s">
        <v>14</v>
      </c>
      <c r="AC291" s="28" t="s">
        <v>309</v>
      </c>
      <c r="AG291" s="26" t="s">
        <v>62</v>
      </c>
      <c r="AH291" s="26" t="s">
        <v>309</v>
      </c>
    </row>
    <row r="292" spans="25:34" x14ac:dyDescent="0.7">
      <c r="Y292" s="27" t="s">
        <v>421</v>
      </c>
      <c r="Z292" s="27" t="s">
        <v>309</v>
      </c>
      <c r="AA292" s="27" t="s">
        <v>516</v>
      </c>
      <c r="AB292" s="27" t="s">
        <v>13</v>
      </c>
      <c r="AC292" s="28" t="s">
        <v>309</v>
      </c>
      <c r="AG292" s="26" t="s">
        <v>87</v>
      </c>
      <c r="AH292" s="26" t="s">
        <v>309</v>
      </c>
    </row>
    <row r="293" spans="25:34" x14ac:dyDescent="0.7">
      <c r="Y293" s="27" t="s">
        <v>422</v>
      </c>
      <c r="Z293" s="27" t="s">
        <v>309</v>
      </c>
      <c r="AA293" s="27" t="s">
        <v>516</v>
      </c>
      <c r="AB293" s="27" t="s">
        <v>13</v>
      </c>
      <c r="AC293" s="28" t="s">
        <v>309</v>
      </c>
      <c r="AG293" s="26" t="s">
        <v>44</v>
      </c>
      <c r="AH293" s="26" t="s">
        <v>309</v>
      </c>
    </row>
    <row r="294" spans="25:34" x14ac:dyDescent="0.7">
      <c r="Y294" s="27" t="s">
        <v>423</v>
      </c>
      <c r="Z294" s="27" t="s">
        <v>309</v>
      </c>
      <c r="AA294" s="27" t="s">
        <v>516</v>
      </c>
      <c r="AB294" s="27" t="s">
        <v>9</v>
      </c>
      <c r="AC294" s="28" t="s">
        <v>309</v>
      </c>
      <c r="AG294" s="26" t="s">
        <v>424</v>
      </c>
      <c r="AH294" s="26" t="s">
        <v>309</v>
      </c>
    </row>
    <row r="295" spans="25:34" x14ac:dyDescent="0.7">
      <c r="Y295" s="27" t="s">
        <v>424</v>
      </c>
      <c r="Z295" s="27" t="s">
        <v>309</v>
      </c>
      <c r="AA295" s="27" t="s">
        <v>516</v>
      </c>
      <c r="AB295" s="27" t="s">
        <v>9</v>
      </c>
      <c r="AC295" s="28" t="s">
        <v>309</v>
      </c>
      <c r="AG295" s="26" t="s">
        <v>349</v>
      </c>
      <c r="AH295" s="26" t="s">
        <v>309</v>
      </c>
    </row>
    <row r="296" spans="25:34" x14ac:dyDescent="0.7">
      <c r="Y296" s="27" t="s">
        <v>425</v>
      </c>
      <c r="Z296" s="27" t="s">
        <v>309</v>
      </c>
      <c r="AA296" s="27" t="s">
        <v>516</v>
      </c>
      <c r="AB296" s="27" t="s">
        <v>12</v>
      </c>
      <c r="AC296" s="28" t="s">
        <v>309</v>
      </c>
      <c r="AG296" s="26" t="s">
        <v>426</v>
      </c>
      <c r="AH296" s="26" t="s">
        <v>309</v>
      </c>
    </row>
    <row r="297" spans="25:34" x14ac:dyDescent="0.7">
      <c r="Y297" s="27" t="s">
        <v>373</v>
      </c>
      <c r="Z297" s="27" t="s">
        <v>309</v>
      </c>
      <c r="AA297" s="27" t="s">
        <v>516</v>
      </c>
      <c r="AB297" s="27" t="s">
        <v>499</v>
      </c>
      <c r="AC297" s="28" t="s">
        <v>498</v>
      </c>
      <c r="AG297" s="26" t="s">
        <v>152</v>
      </c>
      <c r="AH297" s="26" t="s">
        <v>309</v>
      </c>
    </row>
    <row r="298" spans="25:34" x14ac:dyDescent="0.7">
      <c r="Y298" s="27" t="s">
        <v>427</v>
      </c>
      <c r="Z298" s="27" t="s">
        <v>309</v>
      </c>
      <c r="AA298" s="27" t="s">
        <v>516</v>
      </c>
      <c r="AB298" s="27" t="s">
        <v>14</v>
      </c>
      <c r="AC298" s="28" t="s">
        <v>309</v>
      </c>
      <c r="AG298" s="26" t="s">
        <v>89</v>
      </c>
      <c r="AH298" s="26" t="s">
        <v>309</v>
      </c>
    </row>
    <row r="299" spans="25:34" x14ac:dyDescent="0.7">
      <c r="Y299" s="27" t="s">
        <v>393</v>
      </c>
      <c r="Z299" s="27" t="s">
        <v>309</v>
      </c>
      <c r="AA299" s="27" t="s">
        <v>516</v>
      </c>
      <c r="AB299" s="27" t="s">
        <v>504</v>
      </c>
      <c r="AC299" s="28" t="s">
        <v>498</v>
      </c>
      <c r="AG299" s="26" t="s">
        <v>394</v>
      </c>
      <c r="AH299" s="26" t="s">
        <v>309</v>
      </c>
    </row>
    <row r="300" spans="25:34" x14ac:dyDescent="0.7">
      <c r="Y300" s="27" t="s">
        <v>344</v>
      </c>
      <c r="Z300" s="27" t="s">
        <v>309</v>
      </c>
      <c r="AA300" s="27" t="s">
        <v>516</v>
      </c>
      <c r="AB300" s="27" t="s">
        <v>9</v>
      </c>
      <c r="AC300" s="28" t="s">
        <v>309</v>
      </c>
      <c r="AG300" s="26" t="s">
        <v>428</v>
      </c>
      <c r="AH300" s="26" t="s">
        <v>309</v>
      </c>
    </row>
    <row r="301" spans="25:34" x14ac:dyDescent="0.7">
      <c r="Y301" s="27" t="s">
        <v>351</v>
      </c>
      <c r="Z301" s="27" t="s">
        <v>309</v>
      </c>
      <c r="AA301" s="27" t="s">
        <v>516</v>
      </c>
      <c r="AB301" s="27" t="s">
        <v>12</v>
      </c>
      <c r="AC301" s="28" t="s">
        <v>309</v>
      </c>
      <c r="AG301" s="26" t="s">
        <v>218</v>
      </c>
      <c r="AH301" s="26" t="s">
        <v>309</v>
      </c>
    </row>
    <row r="302" spans="25:34" x14ac:dyDescent="0.7">
      <c r="Y302" s="27" t="s">
        <v>411</v>
      </c>
      <c r="Z302" s="27" t="s">
        <v>309</v>
      </c>
      <c r="AA302" s="27" t="s">
        <v>516</v>
      </c>
      <c r="AB302" s="27" t="s">
        <v>8</v>
      </c>
      <c r="AC302" s="28" t="s">
        <v>309</v>
      </c>
      <c r="AG302" s="26" t="s">
        <v>273</v>
      </c>
      <c r="AH302" s="26" t="s">
        <v>309</v>
      </c>
    </row>
    <row r="303" spans="25:34" x14ac:dyDescent="0.7">
      <c r="Y303" s="27" t="s">
        <v>429</v>
      </c>
      <c r="Z303" s="27" t="s">
        <v>309</v>
      </c>
      <c r="AA303" s="27" t="s">
        <v>516</v>
      </c>
      <c r="AB303" s="27" t="s">
        <v>9</v>
      </c>
      <c r="AC303" s="28" t="s">
        <v>309</v>
      </c>
      <c r="AG303" s="26" t="s">
        <v>430</v>
      </c>
      <c r="AH303" s="26" t="s">
        <v>309</v>
      </c>
    </row>
    <row r="304" spans="25:34" x14ac:dyDescent="0.7">
      <c r="Y304" s="35" t="s">
        <v>379</v>
      </c>
      <c r="Z304" s="27" t="s">
        <v>309</v>
      </c>
      <c r="AA304" s="27" t="s">
        <v>516</v>
      </c>
      <c r="AB304" s="27" t="s">
        <v>9</v>
      </c>
      <c r="AC304" s="28" t="s">
        <v>309</v>
      </c>
      <c r="AG304" s="26" t="s">
        <v>431</v>
      </c>
      <c r="AH304" s="26" t="s">
        <v>309</v>
      </c>
    </row>
    <row r="305" spans="25:34" x14ac:dyDescent="0.7">
      <c r="Y305" s="35" t="s">
        <v>426</v>
      </c>
      <c r="Z305" s="27" t="s">
        <v>309</v>
      </c>
      <c r="AA305" s="27" t="s">
        <v>516</v>
      </c>
      <c r="AB305" s="27" t="s">
        <v>9</v>
      </c>
      <c r="AC305" s="28" t="s">
        <v>309</v>
      </c>
      <c r="AG305" s="26" t="s">
        <v>168</v>
      </c>
      <c r="AH305" s="26" t="s">
        <v>309</v>
      </c>
    </row>
    <row r="306" spans="25:34" x14ac:dyDescent="0.7">
      <c r="Y306" s="35" t="s">
        <v>432</v>
      </c>
      <c r="Z306" s="27" t="s">
        <v>309</v>
      </c>
      <c r="AA306" s="27" t="s">
        <v>516</v>
      </c>
      <c r="AB306" s="27" t="s">
        <v>11</v>
      </c>
      <c r="AC306" s="28" t="s">
        <v>309</v>
      </c>
      <c r="AG306" s="26" t="s">
        <v>359</v>
      </c>
      <c r="AH306" s="26" t="s">
        <v>309</v>
      </c>
    </row>
    <row r="307" spans="25:34" x14ac:dyDescent="0.7">
      <c r="Y307" s="35" t="s">
        <v>374</v>
      </c>
      <c r="Z307" s="27" t="s">
        <v>309</v>
      </c>
      <c r="AA307" s="27" t="s">
        <v>516</v>
      </c>
      <c r="AB307" s="27" t="s">
        <v>503</v>
      </c>
      <c r="AC307" s="28" t="s">
        <v>498</v>
      </c>
      <c r="AG307" s="26" t="s">
        <v>338</v>
      </c>
      <c r="AH307" s="26" t="s">
        <v>309</v>
      </c>
    </row>
    <row r="308" spans="25:34" x14ac:dyDescent="0.7">
      <c r="Y308" s="35" t="s">
        <v>433</v>
      </c>
      <c r="Z308" s="27" t="s">
        <v>309</v>
      </c>
      <c r="AA308" s="27" t="s">
        <v>516</v>
      </c>
      <c r="AB308" s="27" t="s">
        <v>13</v>
      </c>
      <c r="AC308" s="28" t="s">
        <v>309</v>
      </c>
      <c r="AG308" s="26" t="s">
        <v>434</v>
      </c>
      <c r="AH308" s="26" t="s">
        <v>309</v>
      </c>
    </row>
    <row r="309" spans="25:34" x14ac:dyDescent="0.7">
      <c r="Y309" s="35" t="s">
        <v>435</v>
      </c>
      <c r="Z309" s="27" t="s">
        <v>309</v>
      </c>
      <c r="AA309" s="27" t="s">
        <v>516</v>
      </c>
      <c r="AB309" s="27" t="s">
        <v>12</v>
      </c>
      <c r="AC309" s="28" t="s">
        <v>309</v>
      </c>
      <c r="AG309" s="26" t="s">
        <v>271</v>
      </c>
      <c r="AH309" s="26" t="s">
        <v>309</v>
      </c>
    </row>
    <row r="310" spans="25:34" x14ac:dyDescent="0.7">
      <c r="Y310" s="35" t="s">
        <v>353</v>
      </c>
      <c r="Z310" s="27" t="s">
        <v>309</v>
      </c>
      <c r="AA310" s="27" t="s">
        <v>517</v>
      </c>
      <c r="AB310" s="27" t="s">
        <v>14</v>
      </c>
      <c r="AC310" s="28" t="s">
        <v>309</v>
      </c>
      <c r="AG310" s="26" t="s">
        <v>66</v>
      </c>
      <c r="AH310" s="26" t="s">
        <v>309</v>
      </c>
    </row>
    <row r="311" spans="25:34" x14ac:dyDescent="0.7">
      <c r="Y311" s="35" t="s">
        <v>342</v>
      </c>
      <c r="Z311" s="27" t="s">
        <v>309</v>
      </c>
      <c r="AA311" s="27" t="s">
        <v>517</v>
      </c>
      <c r="AB311" s="27" t="s">
        <v>12</v>
      </c>
      <c r="AC311" s="28" t="s">
        <v>309</v>
      </c>
      <c r="AG311" s="26" t="s">
        <v>436</v>
      </c>
      <c r="AH311" s="26" t="s">
        <v>309</v>
      </c>
    </row>
    <row r="312" spans="25:34" x14ac:dyDescent="0.7">
      <c r="Y312" s="35" t="s">
        <v>414</v>
      </c>
      <c r="Z312" s="27" t="s">
        <v>309</v>
      </c>
      <c r="AA312" s="27" t="s">
        <v>517</v>
      </c>
      <c r="AB312" s="27" t="s">
        <v>497</v>
      </c>
      <c r="AC312" s="28" t="s">
        <v>498</v>
      </c>
      <c r="AG312" s="26" t="s">
        <v>245</v>
      </c>
      <c r="AH312" s="26" t="s">
        <v>309</v>
      </c>
    </row>
    <row r="313" spans="25:34" x14ac:dyDescent="0.7">
      <c r="Y313" s="35" t="s">
        <v>314</v>
      </c>
      <c r="Z313" s="27" t="s">
        <v>309</v>
      </c>
      <c r="AA313" s="27" t="s">
        <v>517</v>
      </c>
      <c r="AB313" s="27" t="s">
        <v>13</v>
      </c>
      <c r="AC313" s="28" t="s">
        <v>309</v>
      </c>
      <c r="AG313" s="26" t="s">
        <v>437</v>
      </c>
      <c r="AH313" s="26" t="s">
        <v>309</v>
      </c>
    </row>
    <row r="314" spans="25:34" x14ac:dyDescent="0.7">
      <c r="Y314" s="35" t="s">
        <v>356</v>
      </c>
      <c r="Z314" s="27" t="s">
        <v>309</v>
      </c>
      <c r="AA314" s="27" t="s">
        <v>517</v>
      </c>
      <c r="AB314" s="27" t="s">
        <v>13</v>
      </c>
      <c r="AC314" s="28" t="s">
        <v>309</v>
      </c>
      <c r="AG314" s="26" t="s">
        <v>239</v>
      </c>
      <c r="AH314" s="26" t="s">
        <v>309</v>
      </c>
    </row>
    <row r="315" spans="25:34" x14ac:dyDescent="0.7">
      <c r="Y315" s="35" t="s">
        <v>438</v>
      </c>
      <c r="Z315" s="27" t="s">
        <v>309</v>
      </c>
      <c r="AA315" s="27" t="s">
        <v>517</v>
      </c>
      <c r="AB315" s="27" t="s">
        <v>13</v>
      </c>
      <c r="AC315" s="28" t="s">
        <v>309</v>
      </c>
      <c r="AG315" s="26" t="s">
        <v>107</v>
      </c>
      <c r="AH315" s="26" t="s">
        <v>309</v>
      </c>
    </row>
    <row r="316" spans="25:34" x14ac:dyDescent="0.7">
      <c r="Y316" s="35" t="s">
        <v>439</v>
      </c>
      <c r="Z316" s="27" t="s">
        <v>309</v>
      </c>
      <c r="AA316" s="27" t="s">
        <v>517</v>
      </c>
      <c r="AB316" s="27" t="s">
        <v>13</v>
      </c>
      <c r="AC316" s="28" t="s">
        <v>309</v>
      </c>
      <c r="AG316" s="26" t="s">
        <v>440</v>
      </c>
      <c r="AH316" s="26" t="s">
        <v>309</v>
      </c>
    </row>
    <row r="317" spans="25:34" x14ac:dyDescent="0.7">
      <c r="Y317" s="35" t="s">
        <v>441</v>
      </c>
      <c r="Z317" s="27" t="s">
        <v>309</v>
      </c>
      <c r="AA317" s="27" t="s">
        <v>517</v>
      </c>
      <c r="AB317" s="27" t="s">
        <v>9</v>
      </c>
      <c r="AC317" s="28" t="s">
        <v>309</v>
      </c>
      <c r="AG317" s="26" t="s">
        <v>297</v>
      </c>
      <c r="AH317" s="26" t="s">
        <v>309</v>
      </c>
    </row>
    <row r="318" spans="25:34" x14ac:dyDescent="0.7">
      <c r="Y318" s="35" t="s">
        <v>442</v>
      </c>
      <c r="Z318" s="27" t="s">
        <v>309</v>
      </c>
      <c r="AA318" s="27" t="s">
        <v>517</v>
      </c>
      <c r="AB318" s="27" t="s">
        <v>11</v>
      </c>
      <c r="AC318" s="28" t="s">
        <v>309</v>
      </c>
      <c r="AG318" s="26" t="s">
        <v>378</v>
      </c>
      <c r="AH318" s="26" t="s">
        <v>309</v>
      </c>
    </row>
    <row r="319" spans="25:34" x14ac:dyDescent="0.7">
      <c r="Y319" s="35" t="s">
        <v>430</v>
      </c>
      <c r="Z319" s="27" t="s">
        <v>309</v>
      </c>
      <c r="AA319" s="27" t="s">
        <v>517</v>
      </c>
      <c r="AB319" s="27" t="s">
        <v>9</v>
      </c>
      <c r="AC319" s="28" t="s">
        <v>309</v>
      </c>
      <c r="AG319" s="26" t="s">
        <v>91</v>
      </c>
      <c r="AH319" s="26" t="s">
        <v>309</v>
      </c>
    </row>
    <row r="320" spans="25:34" x14ac:dyDescent="0.7">
      <c r="Y320" s="35" t="s">
        <v>443</v>
      </c>
      <c r="Z320" s="27" t="s">
        <v>309</v>
      </c>
      <c r="AA320" s="27" t="s">
        <v>517</v>
      </c>
      <c r="AB320" s="27" t="s">
        <v>8</v>
      </c>
      <c r="AC320" s="28" t="s">
        <v>309</v>
      </c>
      <c r="AG320" s="26" t="s">
        <v>154</v>
      </c>
      <c r="AH320" s="26" t="s">
        <v>309</v>
      </c>
    </row>
    <row r="321" spans="25:34" x14ac:dyDescent="0.7">
      <c r="Y321" s="35" t="s">
        <v>444</v>
      </c>
      <c r="Z321" s="27" t="s">
        <v>309</v>
      </c>
      <c r="AA321" s="27" t="s">
        <v>517</v>
      </c>
      <c r="AB321" s="27" t="s">
        <v>9</v>
      </c>
      <c r="AC321" s="28" t="s">
        <v>309</v>
      </c>
      <c r="AG321" s="26" t="s">
        <v>445</v>
      </c>
      <c r="AH321" s="26" t="s">
        <v>309</v>
      </c>
    </row>
    <row r="322" spans="25:34" x14ac:dyDescent="0.7">
      <c r="Y322" s="35" t="s">
        <v>446</v>
      </c>
      <c r="Z322" s="27" t="s">
        <v>309</v>
      </c>
      <c r="AA322" s="27" t="s">
        <v>517</v>
      </c>
      <c r="AB322" s="27" t="s">
        <v>13</v>
      </c>
      <c r="AC322" s="28" t="s">
        <v>309</v>
      </c>
      <c r="AG322" s="26" t="s">
        <v>184</v>
      </c>
      <c r="AH322" s="26" t="s">
        <v>309</v>
      </c>
    </row>
    <row r="323" spans="25:34" x14ac:dyDescent="0.7">
      <c r="Y323" s="35" t="s">
        <v>447</v>
      </c>
      <c r="Z323" s="27" t="s">
        <v>309</v>
      </c>
      <c r="AA323" s="27" t="s">
        <v>517</v>
      </c>
      <c r="AB323" s="27" t="s">
        <v>8</v>
      </c>
      <c r="AC323" s="28" t="s">
        <v>309</v>
      </c>
      <c r="AG323" s="26" t="s">
        <v>448</v>
      </c>
      <c r="AH323" s="26" t="s">
        <v>309</v>
      </c>
    </row>
    <row r="324" spans="25:34" x14ac:dyDescent="0.7">
      <c r="Y324" s="35" t="s">
        <v>368</v>
      </c>
      <c r="Z324" s="27" t="s">
        <v>309</v>
      </c>
      <c r="AA324" s="27" t="s">
        <v>517</v>
      </c>
      <c r="AB324" s="27" t="s">
        <v>12</v>
      </c>
      <c r="AC324" s="28" t="s">
        <v>309</v>
      </c>
      <c r="AG324" s="26" t="s">
        <v>119</v>
      </c>
      <c r="AH324" s="26" t="s">
        <v>309</v>
      </c>
    </row>
    <row r="325" spans="25:34" x14ac:dyDescent="0.7">
      <c r="Y325" s="27" t="s">
        <v>449</v>
      </c>
      <c r="Z325" s="27" t="s">
        <v>309</v>
      </c>
      <c r="AA325" s="27" t="s">
        <v>517</v>
      </c>
      <c r="AB325" s="27" t="s">
        <v>9</v>
      </c>
      <c r="AC325" s="28" t="s">
        <v>309</v>
      </c>
      <c r="AG325" s="26" t="s">
        <v>396</v>
      </c>
      <c r="AH325" s="26" t="s">
        <v>309</v>
      </c>
    </row>
    <row r="326" spans="25:34" x14ac:dyDescent="0.7">
      <c r="Y326" s="27" t="s">
        <v>365</v>
      </c>
      <c r="Z326" s="27" t="s">
        <v>309</v>
      </c>
      <c r="AA326" s="27" t="s">
        <v>517</v>
      </c>
      <c r="AB326" s="27" t="s">
        <v>12</v>
      </c>
      <c r="AC326" s="28" t="s">
        <v>309</v>
      </c>
      <c r="AG326" s="26" t="s">
        <v>443</v>
      </c>
      <c r="AH326" s="26" t="s">
        <v>309</v>
      </c>
    </row>
    <row r="327" spans="25:34" x14ac:dyDescent="0.7">
      <c r="Y327" s="27" t="s">
        <v>415</v>
      </c>
      <c r="Z327" s="27" t="s">
        <v>309</v>
      </c>
      <c r="AA327" s="27" t="s">
        <v>517</v>
      </c>
      <c r="AB327" s="27" t="s">
        <v>9</v>
      </c>
      <c r="AC327" s="28" t="s">
        <v>309</v>
      </c>
      <c r="AG327" s="26" t="s">
        <v>180</v>
      </c>
      <c r="AH327" s="26" t="s">
        <v>309</v>
      </c>
    </row>
    <row r="328" spans="25:34" x14ac:dyDescent="0.7">
      <c r="Y328" s="27" t="s">
        <v>450</v>
      </c>
      <c r="Z328" s="27" t="s">
        <v>309</v>
      </c>
      <c r="AA328" s="27" t="s">
        <v>517</v>
      </c>
      <c r="AB328" s="27" t="s">
        <v>13</v>
      </c>
      <c r="AC328" s="28" t="s">
        <v>309</v>
      </c>
      <c r="AG328" s="26" t="s">
        <v>401</v>
      </c>
      <c r="AH328" s="26" t="s">
        <v>309</v>
      </c>
    </row>
    <row r="329" spans="25:34" x14ac:dyDescent="0.7">
      <c r="Y329" s="27" t="s">
        <v>451</v>
      </c>
      <c r="Z329" s="27" t="s">
        <v>309</v>
      </c>
      <c r="AA329" s="27" t="s">
        <v>517</v>
      </c>
      <c r="AB329" s="27" t="s">
        <v>9</v>
      </c>
      <c r="AC329" s="28" t="s">
        <v>309</v>
      </c>
      <c r="AG329" s="26" t="s">
        <v>418</v>
      </c>
      <c r="AH329" s="26" t="s">
        <v>309</v>
      </c>
    </row>
    <row r="330" spans="25:34" x14ac:dyDescent="0.7">
      <c r="Y330" s="27" t="s">
        <v>452</v>
      </c>
      <c r="Z330" s="27" t="s">
        <v>309</v>
      </c>
      <c r="AA330" s="27" t="s">
        <v>517</v>
      </c>
      <c r="AB330" s="27" t="s">
        <v>511</v>
      </c>
      <c r="AC330" s="28" t="s">
        <v>498</v>
      </c>
      <c r="AG330" s="26" t="s">
        <v>405</v>
      </c>
      <c r="AH330" s="26" t="s">
        <v>309</v>
      </c>
    </row>
    <row r="331" spans="25:34" x14ac:dyDescent="0.7">
      <c r="Y331" s="27" t="s">
        <v>358</v>
      </c>
      <c r="Z331" s="27" t="s">
        <v>309</v>
      </c>
      <c r="AA331" s="27" t="s">
        <v>517</v>
      </c>
      <c r="AB331" s="27" t="s">
        <v>10</v>
      </c>
      <c r="AC331" s="28" t="s">
        <v>309</v>
      </c>
      <c r="AG331" s="26" t="s">
        <v>97</v>
      </c>
      <c r="AH331" s="26" t="s">
        <v>309</v>
      </c>
    </row>
    <row r="332" spans="25:34" x14ac:dyDescent="0.7">
      <c r="Y332" s="27" t="s">
        <v>453</v>
      </c>
      <c r="Z332" s="27" t="s">
        <v>309</v>
      </c>
      <c r="AA332" s="27" t="s">
        <v>517</v>
      </c>
      <c r="AB332" s="27" t="s">
        <v>12</v>
      </c>
      <c r="AC332" s="28" t="s">
        <v>309</v>
      </c>
      <c r="AG332" s="26" t="s">
        <v>316</v>
      </c>
      <c r="AH332" s="26" t="s">
        <v>309</v>
      </c>
    </row>
    <row r="333" spans="25:34" x14ac:dyDescent="0.7">
      <c r="Y333" s="27" t="s">
        <v>211</v>
      </c>
      <c r="Z333" s="27" t="s">
        <v>26</v>
      </c>
      <c r="AA333" s="27" t="s">
        <v>514</v>
      </c>
      <c r="AB333" s="27" t="s">
        <v>12</v>
      </c>
      <c r="AC333" s="28" t="s">
        <v>309</v>
      </c>
      <c r="AG333" s="26" t="s">
        <v>345</v>
      </c>
      <c r="AH333" s="26" t="s">
        <v>309</v>
      </c>
    </row>
    <row r="334" spans="25:34" x14ac:dyDescent="0.7">
      <c r="Y334" s="27" t="s">
        <v>201</v>
      </c>
      <c r="Z334" s="27" t="s">
        <v>26</v>
      </c>
      <c r="AA334" s="27" t="s">
        <v>514</v>
      </c>
      <c r="AB334" s="27" t="s">
        <v>12</v>
      </c>
      <c r="AC334" s="28" t="s">
        <v>309</v>
      </c>
      <c r="AG334" s="26" t="s">
        <v>312</v>
      </c>
      <c r="AH334" s="26" t="s">
        <v>309</v>
      </c>
    </row>
    <row r="335" spans="25:34" x14ac:dyDescent="0.7">
      <c r="Y335" s="27" t="s">
        <v>220</v>
      </c>
      <c r="Z335" s="27" t="s">
        <v>26</v>
      </c>
      <c r="AA335" s="27" t="s">
        <v>514</v>
      </c>
      <c r="AB335" s="27" t="s">
        <v>9</v>
      </c>
      <c r="AC335" s="28" t="s">
        <v>309</v>
      </c>
      <c r="AG335" s="26" t="s">
        <v>392</v>
      </c>
      <c r="AH335" s="26" t="s">
        <v>309</v>
      </c>
    </row>
    <row r="336" spans="25:34" x14ac:dyDescent="0.7">
      <c r="Y336" s="27" t="s">
        <v>213</v>
      </c>
      <c r="Z336" s="27" t="s">
        <v>26</v>
      </c>
      <c r="AA336" s="27" t="s">
        <v>514</v>
      </c>
      <c r="AB336" s="27" t="s">
        <v>8</v>
      </c>
      <c r="AC336" s="28" t="s">
        <v>309</v>
      </c>
      <c r="AG336" s="26" t="s">
        <v>454</v>
      </c>
      <c r="AH336" s="26" t="s">
        <v>309</v>
      </c>
    </row>
    <row r="337" spans="25:34" x14ac:dyDescent="0.7">
      <c r="Y337" s="27" t="s">
        <v>191</v>
      </c>
      <c r="Z337" s="27" t="s">
        <v>26</v>
      </c>
      <c r="AA337" s="27" t="s">
        <v>514</v>
      </c>
      <c r="AB337" s="27" t="s">
        <v>14</v>
      </c>
      <c r="AC337" s="28" t="s">
        <v>309</v>
      </c>
      <c r="AG337" s="26" t="s">
        <v>455</v>
      </c>
      <c r="AH337" s="26" t="s">
        <v>309</v>
      </c>
    </row>
    <row r="338" spans="25:34" x14ac:dyDescent="0.7">
      <c r="Y338" s="27" t="s">
        <v>196</v>
      </c>
      <c r="Z338" s="27" t="s">
        <v>26</v>
      </c>
      <c r="AA338" s="27" t="s">
        <v>514</v>
      </c>
      <c r="AB338" s="27" t="s">
        <v>9</v>
      </c>
      <c r="AC338" s="28" t="s">
        <v>309</v>
      </c>
      <c r="AG338" s="26" t="s">
        <v>404</v>
      </c>
      <c r="AH338" s="26" t="s">
        <v>309</v>
      </c>
    </row>
    <row r="339" spans="25:34" x14ac:dyDescent="0.7">
      <c r="Y339" s="27" t="s">
        <v>199</v>
      </c>
      <c r="Z339" s="27" t="s">
        <v>26</v>
      </c>
      <c r="AA339" s="27" t="s">
        <v>514</v>
      </c>
      <c r="AB339" s="27" t="s">
        <v>11</v>
      </c>
      <c r="AC339" s="28" t="s">
        <v>309</v>
      </c>
      <c r="AG339" s="26" t="s">
        <v>307</v>
      </c>
      <c r="AH339" s="26" t="s">
        <v>309</v>
      </c>
    </row>
    <row r="340" spans="25:34" x14ac:dyDescent="0.7">
      <c r="Y340" s="27" t="s">
        <v>216</v>
      </c>
      <c r="Z340" s="27" t="s">
        <v>26</v>
      </c>
      <c r="AA340" s="27" t="s">
        <v>514</v>
      </c>
      <c r="AB340" s="27" t="s">
        <v>13</v>
      </c>
      <c r="AC340" s="28" t="s">
        <v>309</v>
      </c>
      <c r="AG340" s="26" t="s">
        <v>456</v>
      </c>
      <c r="AH340" s="26" t="s">
        <v>309</v>
      </c>
    </row>
    <row r="341" spans="25:34" x14ac:dyDescent="0.7">
      <c r="Y341" s="27" t="s">
        <v>189</v>
      </c>
      <c r="Z341" s="27" t="s">
        <v>26</v>
      </c>
      <c r="AA341" s="27" t="s">
        <v>514</v>
      </c>
      <c r="AB341" s="27" t="s">
        <v>12</v>
      </c>
      <c r="AC341" s="28" t="s">
        <v>309</v>
      </c>
      <c r="AG341" s="26" t="s">
        <v>109</v>
      </c>
      <c r="AH341" s="26" t="s">
        <v>309</v>
      </c>
    </row>
    <row r="342" spans="25:34" x14ac:dyDescent="0.7">
      <c r="Y342" s="27" t="s">
        <v>203</v>
      </c>
      <c r="Z342" s="27" t="s">
        <v>26</v>
      </c>
      <c r="AA342" s="27" t="s">
        <v>514</v>
      </c>
      <c r="AB342" s="27" t="s">
        <v>13</v>
      </c>
      <c r="AC342" s="28" t="s">
        <v>309</v>
      </c>
      <c r="AG342" s="26" t="s">
        <v>423</v>
      </c>
      <c r="AH342" s="26" t="s">
        <v>309</v>
      </c>
    </row>
    <row r="343" spans="25:34" x14ac:dyDescent="0.7">
      <c r="Y343" s="27" t="s">
        <v>209</v>
      </c>
      <c r="Z343" s="27" t="s">
        <v>26</v>
      </c>
      <c r="AA343" s="27" t="s">
        <v>514</v>
      </c>
      <c r="AB343" s="27" t="s">
        <v>9</v>
      </c>
      <c r="AC343" s="28" t="s">
        <v>309</v>
      </c>
      <c r="AG343" s="26" t="s">
        <v>377</v>
      </c>
      <c r="AH343" s="26" t="s">
        <v>309</v>
      </c>
    </row>
    <row r="344" spans="25:34" x14ac:dyDescent="0.7">
      <c r="Y344" s="27" t="s">
        <v>214</v>
      </c>
      <c r="Z344" s="27" t="s">
        <v>26</v>
      </c>
      <c r="AA344" s="27" t="s">
        <v>514</v>
      </c>
      <c r="AB344" s="27" t="s">
        <v>12</v>
      </c>
      <c r="AC344" s="28" t="s">
        <v>309</v>
      </c>
      <c r="AG344" s="26" t="s">
        <v>295</v>
      </c>
      <c r="AH344" s="26" t="s">
        <v>309</v>
      </c>
    </row>
    <row r="345" spans="25:34" x14ac:dyDescent="0.7">
      <c r="Y345" s="27" t="s">
        <v>183</v>
      </c>
      <c r="Z345" s="27" t="s">
        <v>26</v>
      </c>
      <c r="AA345" s="27" t="s">
        <v>514</v>
      </c>
      <c r="AB345" s="27" t="s">
        <v>497</v>
      </c>
      <c r="AC345" s="28" t="s">
        <v>498</v>
      </c>
      <c r="AG345" s="26" t="s">
        <v>81</v>
      </c>
      <c r="AH345" s="26" t="s">
        <v>309</v>
      </c>
    </row>
    <row r="346" spans="25:34" x14ac:dyDescent="0.7">
      <c r="Y346" s="27" t="s">
        <v>210</v>
      </c>
      <c r="Z346" s="27" t="s">
        <v>26</v>
      </c>
      <c r="AA346" s="27" t="s">
        <v>514</v>
      </c>
      <c r="AB346" s="27" t="s">
        <v>9</v>
      </c>
      <c r="AC346" s="28" t="s">
        <v>309</v>
      </c>
      <c r="AG346" s="26" t="s">
        <v>333</v>
      </c>
      <c r="AH346" s="26" t="s">
        <v>309</v>
      </c>
    </row>
    <row r="347" spans="25:34" x14ac:dyDescent="0.7">
      <c r="Y347" s="27" t="s">
        <v>185</v>
      </c>
      <c r="Z347" s="27" t="s">
        <v>26</v>
      </c>
      <c r="AA347" s="27" t="s">
        <v>514</v>
      </c>
      <c r="AB347" s="27" t="s">
        <v>10</v>
      </c>
      <c r="AC347" s="28" t="s">
        <v>309</v>
      </c>
      <c r="AG347" s="26" t="s">
        <v>391</v>
      </c>
      <c r="AH347" s="26" t="s">
        <v>309</v>
      </c>
    </row>
    <row r="348" spans="25:34" x14ac:dyDescent="0.7">
      <c r="Y348" s="27" t="s">
        <v>205</v>
      </c>
      <c r="Z348" s="27" t="s">
        <v>26</v>
      </c>
      <c r="AA348" s="27" t="s">
        <v>514</v>
      </c>
      <c r="AB348" s="27" t="s">
        <v>13</v>
      </c>
      <c r="AC348" s="28" t="s">
        <v>309</v>
      </c>
      <c r="AG348" s="26" t="s">
        <v>441</v>
      </c>
      <c r="AH348" s="26" t="s">
        <v>309</v>
      </c>
    </row>
    <row r="349" spans="25:34" x14ac:dyDescent="0.7">
      <c r="Y349" s="27" t="s">
        <v>208</v>
      </c>
      <c r="Z349" s="27" t="s">
        <v>26</v>
      </c>
      <c r="AA349" s="27" t="s">
        <v>514</v>
      </c>
      <c r="AB349" s="27" t="s">
        <v>9</v>
      </c>
      <c r="AC349" s="28" t="s">
        <v>309</v>
      </c>
      <c r="AG349" s="26" t="s">
        <v>243</v>
      </c>
      <c r="AH349" s="26" t="s">
        <v>309</v>
      </c>
    </row>
    <row r="350" spans="25:34" x14ac:dyDescent="0.7">
      <c r="Y350" s="35" t="s">
        <v>212</v>
      </c>
      <c r="Z350" s="27" t="s">
        <v>26</v>
      </c>
      <c r="AA350" s="27" t="s">
        <v>514</v>
      </c>
      <c r="AB350" s="27" t="s">
        <v>13</v>
      </c>
      <c r="AC350" s="28" t="s">
        <v>309</v>
      </c>
      <c r="AG350" s="26" t="s">
        <v>103</v>
      </c>
      <c r="AH350" s="26" t="s">
        <v>309</v>
      </c>
    </row>
    <row r="351" spans="25:34" x14ac:dyDescent="0.7">
      <c r="Y351" s="35" t="s">
        <v>207</v>
      </c>
      <c r="Z351" s="27" t="s">
        <v>26</v>
      </c>
      <c r="AA351" s="27" t="s">
        <v>514</v>
      </c>
      <c r="AB351" s="27" t="s">
        <v>13</v>
      </c>
      <c r="AC351" s="28" t="s">
        <v>309</v>
      </c>
      <c r="AG351" s="26" t="s">
        <v>275</v>
      </c>
      <c r="AH351" s="26" t="s">
        <v>309</v>
      </c>
    </row>
    <row r="352" spans="25:34" x14ac:dyDescent="0.7">
      <c r="Y352" s="35" t="s">
        <v>219</v>
      </c>
      <c r="Z352" s="27" t="s">
        <v>26</v>
      </c>
      <c r="AA352" s="27" t="s">
        <v>514</v>
      </c>
      <c r="AB352" s="27" t="s">
        <v>9</v>
      </c>
      <c r="AC352" s="28" t="s">
        <v>309</v>
      </c>
      <c r="AG352" s="26" t="s">
        <v>457</v>
      </c>
      <c r="AH352" s="26" t="s">
        <v>309</v>
      </c>
    </row>
    <row r="353" spans="25:34" x14ac:dyDescent="0.7">
      <c r="Y353" s="35" t="s">
        <v>217</v>
      </c>
      <c r="Z353" s="27" t="s">
        <v>26</v>
      </c>
      <c r="AA353" s="27" t="s">
        <v>514</v>
      </c>
      <c r="AB353" s="27" t="s">
        <v>504</v>
      </c>
      <c r="AC353" s="28" t="s">
        <v>498</v>
      </c>
      <c r="AG353" s="26" t="s">
        <v>399</v>
      </c>
      <c r="AH353" s="26" t="s">
        <v>309</v>
      </c>
    </row>
    <row r="354" spans="25:34" x14ac:dyDescent="0.7">
      <c r="Y354" s="35" t="s">
        <v>225</v>
      </c>
      <c r="Z354" s="27" t="s">
        <v>23</v>
      </c>
      <c r="AA354" s="27" t="s">
        <v>518</v>
      </c>
      <c r="AB354" s="27" t="s">
        <v>13</v>
      </c>
      <c r="AC354" s="28" t="s">
        <v>309</v>
      </c>
      <c r="AG354" s="26" t="s">
        <v>346</v>
      </c>
      <c r="AH354" s="26" t="s">
        <v>309</v>
      </c>
    </row>
    <row r="355" spans="25:34" x14ac:dyDescent="0.7">
      <c r="Y355" s="35" t="s">
        <v>228</v>
      </c>
      <c r="Z355" s="27" t="s">
        <v>23</v>
      </c>
      <c r="AA355" s="27" t="s">
        <v>518</v>
      </c>
      <c r="AB355" s="27" t="s">
        <v>12</v>
      </c>
      <c r="AC355" s="28" t="s">
        <v>309</v>
      </c>
      <c r="AG355" s="26" t="s">
        <v>131</v>
      </c>
      <c r="AH355" s="26" t="s">
        <v>309</v>
      </c>
    </row>
    <row r="356" spans="25:34" x14ac:dyDescent="0.7">
      <c r="Y356" s="35" t="s">
        <v>294</v>
      </c>
      <c r="Z356" s="27" t="s">
        <v>19</v>
      </c>
      <c r="AA356" s="27" t="s">
        <v>513</v>
      </c>
      <c r="AB356" s="27" t="s">
        <v>13</v>
      </c>
      <c r="AC356" s="28" t="s">
        <v>309</v>
      </c>
      <c r="AG356" s="26" t="s">
        <v>150</v>
      </c>
      <c r="AH356" s="26" t="s">
        <v>309</v>
      </c>
    </row>
    <row r="357" spans="25:34" x14ac:dyDescent="0.7">
      <c r="Y357" s="35" t="s">
        <v>229</v>
      </c>
      <c r="Z357" s="27" t="s">
        <v>23</v>
      </c>
      <c r="AA357" s="27" t="s">
        <v>518</v>
      </c>
      <c r="AB357" s="27" t="s">
        <v>8</v>
      </c>
      <c r="AC357" s="28" t="s">
        <v>309</v>
      </c>
      <c r="AG357" s="26" t="s">
        <v>458</v>
      </c>
      <c r="AH357" s="26" t="s">
        <v>309</v>
      </c>
    </row>
    <row r="358" spans="25:34" x14ac:dyDescent="0.7">
      <c r="Y358" s="35" t="s">
        <v>221</v>
      </c>
      <c r="Z358" s="27" t="s">
        <v>23</v>
      </c>
      <c r="AA358" s="27" t="s">
        <v>518</v>
      </c>
      <c r="AB358" s="27" t="s">
        <v>11</v>
      </c>
      <c r="AC358" s="28" t="s">
        <v>309</v>
      </c>
      <c r="AG358" s="26" t="s">
        <v>261</v>
      </c>
      <c r="AH358" s="26" t="s">
        <v>309</v>
      </c>
    </row>
    <row r="359" spans="25:34" x14ac:dyDescent="0.7">
      <c r="Y359" s="35" t="s">
        <v>236</v>
      </c>
      <c r="Z359" s="27" t="s">
        <v>23</v>
      </c>
      <c r="AA359" s="27" t="s">
        <v>518</v>
      </c>
      <c r="AB359" s="27" t="s">
        <v>11</v>
      </c>
      <c r="AC359" s="28" t="s">
        <v>309</v>
      </c>
      <c r="AG359" s="26" t="s">
        <v>400</v>
      </c>
      <c r="AH359" s="26" t="s">
        <v>309</v>
      </c>
    </row>
    <row r="360" spans="25:34" x14ac:dyDescent="0.7">
      <c r="Y360" s="35" t="s">
        <v>244</v>
      </c>
      <c r="Z360" s="27" t="s">
        <v>23</v>
      </c>
      <c r="AA360" s="27" t="s">
        <v>518</v>
      </c>
      <c r="AB360" s="27" t="s">
        <v>12</v>
      </c>
      <c r="AC360" s="28" t="s">
        <v>309</v>
      </c>
      <c r="AG360" s="26" t="s">
        <v>326</v>
      </c>
      <c r="AH360" s="26" t="s">
        <v>309</v>
      </c>
    </row>
    <row r="361" spans="25:34" x14ac:dyDescent="0.7">
      <c r="Y361" s="35" t="s">
        <v>246</v>
      </c>
      <c r="Z361" s="27" t="s">
        <v>23</v>
      </c>
      <c r="AA361" s="27" t="s">
        <v>518</v>
      </c>
      <c r="AB361" s="27" t="s">
        <v>497</v>
      </c>
      <c r="AC361" s="28" t="s">
        <v>498</v>
      </c>
      <c r="AG361" s="26" t="s">
        <v>417</v>
      </c>
      <c r="AH361" s="26" t="s">
        <v>309</v>
      </c>
    </row>
    <row r="362" spans="25:34" x14ac:dyDescent="0.7">
      <c r="Y362" s="35" t="s">
        <v>240</v>
      </c>
      <c r="Z362" s="27" t="s">
        <v>23</v>
      </c>
      <c r="AA362" s="27" t="s">
        <v>518</v>
      </c>
      <c r="AB362" s="27" t="s">
        <v>12</v>
      </c>
      <c r="AC362" s="28" t="s">
        <v>309</v>
      </c>
      <c r="AG362" s="26" t="s">
        <v>388</v>
      </c>
      <c r="AH362" s="26" t="s">
        <v>309</v>
      </c>
    </row>
    <row r="363" spans="25:34" x14ac:dyDescent="0.7">
      <c r="Y363" s="35" t="s">
        <v>258</v>
      </c>
      <c r="Z363" s="27" t="s">
        <v>23</v>
      </c>
      <c r="AA363" s="27" t="s">
        <v>518</v>
      </c>
      <c r="AB363" s="27" t="s">
        <v>14</v>
      </c>
      <c r="AC363" s="28" t="s">
        <v>309</v>
      </c>
      <c r="AG363" s="26" t="s">
        <v>433</v>
      </c>
      <c r="AH363" s="26" t="s">
        <v>309</v>
      </c>
    </row>
    <row r="364" spans="25:34" x14ac:dyDescent="0.7">
      <c r="Y364" s="35" t="s">
        <v>242</v>
      </c>
      <c r="Z364" s="27" t="s">
        <v>23</v>
      </c>
      <c r="AA364" s="27" t="s">
        <v>518</v>
      </c>
      <c r="AB364" s="27" t="s">
        <v>13</v>
      </c>
      <c r="AC364" s="28" t="s">
        <v>309</v>
      </c>
      <c r="AG364" s="26" t="s">
        <v>442</v>
      </c>
      <c r="AH364" s="26" t="s">
        <v>309</v>
      </c>
    </row>
    <row r="365" spans="25:34" x14ac:dyDescent="0.7">
      <c r="Y365" s="35" t="s">
        <v>224</v>
      </c>
      <c r="Z365" s="27" t="s">
        <v>23</v>
      </c>
      <c r="AA365" s="27" t="s">
        <v>518</v>
      </c>
      <c r="AB365" s="27" t="s">
        <v>14</v>
      </c>
      <c r="AC365" s="28" t="s">
        <v>309</v>
      </c>
      <c r="AG365" s="26" t="s">
        <v>446</v>
      </c>
      <c r="AH365" s="26" t="s">
        <v>309</v>
      </c>
    </row>
    <row r="366" spans="25:34" x14ac:dyDescent="0.7">
      <c r="Y366" s="35" t="s">
        <v>238</v>
      </c>
      <c r="Z366" s="27" t="s">
        <v>23</v>
      </c>
      <c r="AA366" s="27" t="s">
        <v>518</v>
      </c>
      <c r="AB366" s="27" t="s">
        <v>9</v>
      </c>
      <c r="AC366" s="28" t="s">
        <v>309</v>
      </c>
      <c r="AG366" s="26" t="s">
        <v>259</v>
      </c>
      <c r="AH366" s="26" t="s">
        <v>309</v>
      </c>
    </row>
    <row r="367" spans="25:34" x14ac:dyDescent="0.7">
      <c r="Y367" s="35" t="s">
        <v>230</v>
      </c>
      <c r="Z367" s="27" t="s">
        <v>23</v>
      </c>
      <c r="AA367" s="27" t="s">
        <v>518</v>
      </c>
      <c r="AB367" s="27" t="s">
        <v>10</v>
      </c>
      <c r="AC367" s="28" t="s">
        <v>309</v>
      </c>
      <c r="AG367" s="26" t="s">
        <v>30</v>
      </c>
      <c r="AH367" s="26" t="s">
        <v>309</v>
      </c>
    </row>
    <row r="368" spans="25:34" x14ac:dyDescent="0.7">
      <c r="Y368" s="35" t="s">
        <v>232</v>
      </c>
      <c r="Z368" s="27" t="s">
        <v>23</v>
      </c>
      <c r="AA368" s="27" t="s">
        <v>518</v>
      </c>
      <c r="AB368" s="27" t="s">
        <v>11</v>
      </c>
      <c r="AC368" s="28" t="s">
        <v>309</v>
      </c>
      <c r="AG368" s="26" t="s">
        <v>386</v>
      </c>
      <c r="AH368" s="26" t="s">
        <v>309</v>
      </c>
    </row>
    <row r="369" spans="25:34" x14ac:dyDescent="0.7">
      <c r="Y369" s="35" t="s">
        <v>436</v>
      </c>
      <c r="Z369" s="27" t="s">
        <v>309</v>
      </c>
      <c r="AA369" s="27">
        <v>0</v>
      </c>
      <c r="AB369" s="27" t="s">
        <v>9</v>
      </c>
      <c r="AC369" s="28" t="s">
        <v>309</v>
      </c>
      <c r="AG369" s="26" t="s">
        <v>36</v>
      </c>
      <c r="AH369" s="26" t="s">
        <v>309</v>
      </c>
    </row>
    <row r="370" spans="25:34" x14ac:dyDescent="0.7">
      <c r="Y370" s="35" t="s">
        <v>227</v>
      </c>
      <c r="Z370" s="27" t="s">
        <v>23</v>
      </c>
      <c r="AA370" s="27" t="s">
        <v>518</v>
      </c>
      <c r="AB370" s="27" t="s">
        <v>519</v>
      </c>
      <c r="AC370" s="28" t="s">
        <v>498</v>
      </c>
      <c r="AG370" s="26" t="s">
        <v>182</v>
      </c>
      <c r="AH370" s="26" t="s">
        <v>309</v>
      </c>
    </row>
    <row r="371" spans="25:34" x14ac:dyDescent="0.7">
      <c r="Y371" s="35" t="s">
        <v>252</v>
      </c>
      <c r="Z371" s="27" t="s">
        <v>23</v>
      </c>
      <c r="AA371" s="27" t="s">
        <v>518</v>
      </c>
      <c r="AB371" s="27" t="s">
        <v>9</v>
      </c>
      <c r="AC371" s="28" t="s">
        <v>309</v>
      </c>
      <c r="AG371" s="26" t="s">
        <v>459</v>
      </c>
      <c r="AH371" s="26" t="s">
        <v>309</v>
      </c>
    </row>
    <row r="372" spans="25:34" x14ac:dyDescent="0.7">
      <c r="Y372" s="35" t="s">
        <v>254</v>
      </c>
      <c r="Z372" s="27" t="s">
        <v>23</v>
      </c>
      <c r="AA372" s="27" t="s">
        <v>518</v>
      </c>
      <c r="AB372" s="27" t="s">
        <v>13</v>
      </c>
      <c r="AC372" s="28" t="s">
        <v>309</v>
      </c>
      <c r="AG372" s="26" t="s">
        <v>281</v>
      </c>
      <c r="AH372" s="26" t="s">
        <v>309</v>
      </c>
    </row>
    <row r="373" spans="25:34" x14ac:dyDescent="0.7">
      <c r="Y373" s="35" t="s">
        <v>234</v>
      </c>
      <c r="Z373" s="27" t="s">
        <v>23</v>
      </c>
      <c r="AA373" s="27" t="s">
        <v>518</v>
      </c>
      <c r="AB373" s="27" t="s">
        <v>12</v>
      </c>
      <c r="AC373" s="28" t="s">
        <v>309</v>
      </c>
      <c r="AG373" s="26" t="s">
        <v>427</v>
      </c>
      <c r="AH373" s="26" t="s">
        <v>309</v>
      </c>
    </row>
    <row r="374" spans="25:34" x14ac:dyDescent="0.7">
      <c r="Y374" s="35" t="s">
        <v>226</v>
      </c>
      <c r="Z374" s="27" t="s">
        <v>23</v>
      </c>
      <c r="AA374" s="27" t="s">
        <v>518</v>
      </c>
      <c r="AB374" s="27" t="s">
        <v>497</v>
      </c>
      <c r="AC374" s="28" t="s">
        <v>498</v>
      </c>
      <c r="AG374" s="26" t="s">
        <v>74</v>
      </c>
      <c r="AH374" s="26" t="s">
        <v>309</v>
      </c>
    </row>
    <row r="375" spans="25:34" x14ac:dyDescent="0.7">
      <c r="Y375" s="35" t="s">
        <v>222</v>
      </c>
      <c r="Z375" s="27" t="s">
        <v>23</v>
      </c>
      <c r="AA375" s="27" t="s">
        <v>518</v>
      </c>
      <c r="AB375" s="27" t="s">
        <v>12</v>
      </c>
      <c r="AC375" s="28" t="s">
        <v>309</v>
      </c>
      <c r="AG375" s="26" t="s">
        <v>429</v>
      </c>
      <c r="AH375" s="26" t="s">
        <v>309</v>
      </c>
    </row>
    <row r="376" spans="25:34" x14ac:dyDescent="0.7">
      <c r="Y376" s="27" t="s">
        <v>231</v>
      </c>
      <c r="Z376" s="27" t="s">
        <v>23</v>
      </c>
      <c r="AA376" s="27" t="s">
        <v>518</v>
      </c>
      <c r="AB376" s="27" t="s">
        <v>9</v>
      </c>
      <c r="AC376" s="28" t="s">
        <v>309</v>
      </c>
      <c r="AG376" s="26" t="s">
        <v>460</v>
      </c>
      <c r="AH376" s="26" t="s">
        <v>309</v>
      </c>
    </row>
    <row r="377" spans="25:34" x14ac:dyDescent="0.7">
      <c r="Y377" s="27" t="s">
        <v>256</v>
      </c>
      <c r="Z377" s="27" t="s">
        <v>23</v>
      </c>
      <c r="AA377" s="27" t="s">
        <v>518</v>
      </c>
      <c r="AB377" s="27" t="s">
        <v>12</v>
      </c>
      <c r="AC377" s="28" t="s">
        <v>309</v>
      </c>
      <c r="AG377" s="26" t="s">
        <v>461</v>
      </c>
      <c r="AH377" s="26" t="s">
        <v>309</v>
      </c>
    </row>
    <row r="378" spans="25:34" x14ac:dyDescent="0.7">
      <c r="Y378" s="27" t="s">
        <v>248</v>
      </c>
      <c r="Z378" s="27" t="s">
        <v>23</v>
      </c>
      <c r="AA378" s="27" t="s">
        <v>518</v>
      </c>
      <c r="AB378" s="27" t="s">
        <v>9</v>
      </c>
      <c r="AC378" s="28" t="s">
        <v>309</v>
      </c>
      <c r="AG378" s="26" t="s">
        <v>362</v>
      </c>
      <c r="AH378" s="26" t="s">
        <v>309</v>
      </c>
    </row>
    <row r="379" spans="25:34" x14ac:dyDescent="0.7">
      <c r="Y379" s="27" t="s">
        <v>250</v>
      </c>
      <c r="Z379" s="27" t="s">
        <v>23</v>
      </c>
      <c r="AA379" s="27" t="s">
        <v>518</v>
      </c>
      <c r="AB379" s="27" t="s">
        <v>9</v>
      </c>
      <c r="AC379" s="28" t="s">
        <v>309</v>
      </c>
      <c r="AG379" s="26" t="s">
        <v>449</v>
      </c>
      <c r="AH379" s="26" t="s">
        <v>309</v>
      </c>
    </row>
    <row r="380" spans="25:34" x14ac:dyDescent="0.7">
      <c r="Y380" s="27" t="s">
        <v>223</v>
      </c>
      <c r="Z380" s="27" t="s">
        <v>23</v>
      </c>
      <c r="AA380" s="27" t="s">
        <v>518</v>
      </c>
      <c r="AB380" s="27" t="s">
        <v>497</v>
      </c>
      <c r="AC380" s="28" t="s">
        <v>498</v>
      </c>
      <c r="AG380" s="26" t="s">
        <v>289</v>
      </c>
      <c r="AH380" s="26" t="s">
        <v>309</v>
      </c>
    </row>
    <row r="381" spans="25:34" x14ac:dyDescent="0.7">
      <c r="Y381" s="27" t="s">
        <v>317</v>
      </c>
      <c r="Z381" s="27" t="s">
        <v>309</v>
      </c>
      <c r="AA381" s="27" t="s">
        <v>508</v>
      </c>
      <c r="AB381" s="27" t="s">
        <v>10</v>
      </c>
      <c r="AC381" s="28" t="s">
        <v>309</v>
      </c>
      <c r="AG381" s="26" t="s">
        <v>343</v>
      </c>
      <c r="AH381" s="26" t="s">
        <v>309</v>
      </c>
    </row>
    <row r="382" spans="25:34" x14ac:dyDescent="0.7">
      <c r="Y382" s="27" t="s">
        <v>412</v>
      </c>
      <c r="Z382" s="27" t="s">
        <v>309</v>
      </c>
      <c r="AA382" s="27" t="s">
        <v>508</v>
      </c>
      <c r="AB382" s="27" t="s">
        <v>11</v>
      </c>
      <c r="AC382" s="28" t="s">
        <v>309</v>
      </c>
      <c r="AG382" s="26" t="s">
        <v>357</v>
      </c>
      <c r="AH382" s="26" t="s">
        <v>309</v>
      </c>
    </row>
    <row r="383" spans="25:34" x14ac:dyDescent="0.7">
      <c r="Y383" s="27" t="s">
        <v>413</v>
      </c>
      <c r="Z383" s="27" t="s">
        <v>309</v>
      </c>
      <c r="AA383" s="27" t="s">
        <v>508</v>
      </c>
      <c r="AB383" s="27" t="s">
        <v>499</v>
      </c>
      <c r="AC383" s="28" t="s">
        <v>498</v>
      </c>
      <c r="AG383" s="26" t="s">
        <v>419</v>
      </c>
      <c r="AH383" s="26" t="s">
        <v>309</v>
      </c>
    </row>
    <row r="384" spans="25:34" x14ac:dyDescent="0.7">
      <c r="Y384" s="27" t="s">
        <v>462</v>
      </c>
      <c r="Z384" s="27" t="s">
        <v>309</v>
      </c>
      <c r="AA384" s="27" t="s">
        <v>508</v>
      </c>
      <c r="AB384" s="27" t="s">
        <v>12</v>
      </c>
      <c r="AC384" s="28" t="s">
        <v>309</v>
      </c>
      <c r="AG384" s="26" t="s">
        <v>463</v>
      </c>
      <c r="AH384" s="26" t="s">
        <v>309</v>
      </c>
    </row>
    <row r="385" spans="25:34" x14ac:dyDescent="0.7">
      <c r="Y385" s="27" t="s">
        <v>335</v>
      </c>
      <c r="Z385" s="27" t="s">
        <v>309</v>
      </c>
      <c r="AA385" s="27" t="s">
        <v>508</v>
      </c>
      <c r="AB385" s="27" t="s">
        <v>12</v>
      </c>
      <c r="AC385" s="28" t="s">
        <v>309</v>
      </c>
      <c r="AG385" s="26" t="s">
        <v>451</v>
      </c>
      <c r="AH385" s="26" t="s">
        <v>309</v>
      </c>
    </row>
    <row r="386" spans="25:34" x14ac:dyDescent="0.7">
      <c r="Y386" s="27" t="s">
        <v>416</v>
      </c>
      <c r="Z386" s="27" t="s">
        <v>309</v>
      </c>
      <c r="AA386" s="27" t="s">
        <v>508</v>
      </c>
      <c r="AB386" s="27" t="s">
        <v>9</v>
      </c>
      <c r="AC386" s="28" t="s">
        <v>309</v>
      </c>
      <c r="AG386" s="26" t="s">
        <v>360</v>
      </c>
      <c r="AH386" s="26" t="s">
        <v>309</v>
      </c>
    </row>
    <row r="387" spans="25:34" x14ac:dyDescent="0.7">
      <c r="Y387" s="27" t="s">
        <v>321</v>
      </c>
      <c r="Z387" s="27" t="s">
        <v>309</v>
      </c>
      <c r="AA387" s="27" t="s">
        <v>508</v>
      </c>
      <c r="AB387" s="27" t="s">
        <v>9</v>
      </c>
      <c r="AC387" s="28" t="s">
        <v>309</v>
      </c>
      <c r="AG387" s="26" t="s">
        <v>464</v>
      </c>
      <c r="AH387" s="26" t="s">
        <v>309</v>
      </c>
    </row>
    <row r="388" spans="25:34" x14ac:dyDescent="0.7">
      <c r="Y388" s="27" t="s">
        <v>458</v>
      </c>
      <c r="Z388" s="27" t="s">
        <v>309</v>
      </c>
      <c r="AA388" s="27" t="s">
        <v>508</v>
      </c>
      <c r="AB388" s="27" t="s">
        <v>13</v>
      </c>
      <c r="AC388" s="28" t="s">
        <v>309</v>
      </c>
      <c r="AG388" s="26" t="s">
        <v>432</v>
      </c>
      <c r="AH388" s="26" t="s">
        <v>309</v>
      </c>
    </row>
    <row r="389" spans="25:34" x14ac:dyDescent="0.7">
      <c r="Y389" s="27" t="s">
        <v>465</v>
      </c>
      <c r="Z389" s="27" t="s">
        <v>309</v>
      </c>
      <c r="AA389" s="27" t="s">
        <v>508</v>
      </c>
      <c r="AB389" s="27" t="s">
        <v>9</v>
      </c>
      <c r="AC389" s="28" t="s">
        <v>309</v>
      </c>
      <c r="AG389" s="26" t="s">
        <v>99</v>
      </c>
      <c r="AH389" s="26" t="s">
        <v>309</v>
      </c>
    </row>
    <row r="390" spans="25:34" x14ac:dyDescent="0.7">
      <c r="Y390" s="27" t="s">
        <v>367</v>
      </c>
      <c r="Z390" s="27" t="s">
        <v>309</v>
      </c>
      <c r="AA390" s="27" t="s">
        <v>508</v>
      </c>
      <c r="AB390" s="27" t="s">
        <v>12</v>
      </c>
      <c r="AC390" s="28" t="s">
        <v>309</v>
      </c>
      <c r="AG390" s="26" t="s">
        <v>406</v>
      </c>
      <c r="AH390" s="26" t="s">
        <v>309</v>
      </c>
    </row>
    <row r="391" spans="25:34" x14ac:dyDescent="0.7">
      <c r="Y391" s="27" t="s">
        <v>434</v>
      </c>
      <c r="Z391" s="27" t="s">
        <v>309</v>
      </c>
      <c r="AA391" s="27" t="s">
        <v>508</v>
      </c>
      <c r="AB391" s="27" t="s">
        <v>12</v>
      </c>
      <c r="AC391" s="28" t="s">
        <v>309</v>
      </c>
      <c r="AG391" s="26" t="s">
        <v>111</v>
      </c>
      <c r="AH391" s="26" t="s">
        <v>309</v>
      </c>
    </row>
    <row r="392" spans="25:34" x14ac:dyDescent="0.7">
      <c r="Y392" s="27" t="s">
        <v>327</v>
      </c>
      <c r="Z392" s="27" t="s">
        <v>309</v>
      </c>
      <c r="AA392" s="27" t="s">
        <v>508</v>
      </c>
      <c r="AB392" s="27" t="s">
        <v>13</v>
      </c>
      <c r="AC392" s="28" t="s">
        <v>309</v>
      </c>
      <c r="AG392" s="26" t="s">
        <v>354</v>
      </c>
      <c r="AH392" s="26" t="s">
        <v>309</v>
      </c>
    </row>
    <row r="393" spans="25:34" x14ac:dyDescent="0.7">
      <c r="Y393" s="27" t="s">
        <v>445</v>
      </c>
      <c r="Z393" s="27" t="s">
        <v>309</v>
      </c>
      <c r="AA393" s="27" t="s">
        <v>508</v>
      </c>
      <c r="AB393" s="27" t="s">
        <v>11</v>
      </c>
      <c r="AC393" s="28" t="s">
        <v>309</v>
      </c>
      <c r="AG393" s="26" t="s">
        <v>237</v>
      </c>
      <c r="AH393" s="26" t="s">
        <v>309</v>
      </c>
    </row>
    <row r="394" spans="25:34" x14ac:dyDescent="0.7">
      <c r="Y394" s="27" t="s">
        <v>409</v>
      </c>
      <c r="Z394" s="27" t="s">
        <v>309</v>
      </c>
      <c r="AA394" s="27" t="s">
        <v>508</v>
      </c>
      <c r="AB394" s="27" t="s">
        <v>13</v>
      </c>
      <c r="AC394" s="28" t="s">
        <v>309</v>
      </c>
      <c r="AG394" s="26" t="s">
        <v>444</v>
      </c>
      <c r="AH394" s="26" t="s">
        <v>309</v>
      </c>
    </row>
    <row r="395" spans="25:34" x14ac:dyDescent="0.7">
      <c r="Y395" s="27" t="s">
        <v>361</v>
      </c>
      <c r="Z395" s="27" t="s">
        <v>309</v>
      </c>
      <c r="AA395" s="27" t="s">
        <v>510</v>
      </c>
      <c r="AB395" s="27" t="s">
        <v>9</v>
      </c>
      <c r="AC395" s="28" t="s">
        <v>309</v>
      </c>
      <c r="AG395" s="26" t="s">
        <v>452</v>
      </c>
      <c r="AH395" s="26" t="s">
        <v>309</v>
      </c>
    </row>
    <row r="396" spans="25:34" x14ac:dyDescent="0.7">
      <c r="Y396" s="35" t="s">
        <v>431</v>
      </c>
      <c r="Z396" s="27" t="s">
        <v>309</v>
      </c>
      <c r="AA396" s="27" t="s">
        <v>508</v>
      </c>
      <c r="AB396" s="27" t="s">
        <v>8</v>
      </c>
      <c r="AC396" s="28" t="s">
        <v>309</v>
      </c>
      <c r="AG396" s="26" t="s">
        <v>127</v>
      </c>
      <c r="AH396" s="26" t="s">
        <v>309</v>
      </c>
    </row>
    <row r="397" spans="25:34" x14ac:dyDescent="0.7">
      <c r="Y397" s="35" t="s">
        <v>440</v>
      </c>
      <c r="Z397" s="27" t="s">
        <v>309</v>
      </c>
      <c r="AA397" s="27" t="s">
        <v>508</v>
      </c>
      <c r="AB397" s="27" t="s">
        <v>497</v>
      </c>
      <c r="AC397" s="28" t="s">
        <v>498</v>
      </c>
      <c r="AG397" s="26" t="s">
        <v>435</v>
      </c>
      <c r="AH397" s="26" t="s">
        <v>309</v>
      </c>
    </row>
    <row r="398" spans="25:34" x14ac:dyDescent="0.7">
      <c r="Y398" s="35" t="s">
        <v>420</v>
      </c>
      <c r="Z398" s="27" t="s">
        <v>309</v>
      </c>
      <c r="AA398" s="27" t="s">
        <v>508</v>
      </c>
      <c r="AB398" s="27" t="s">
        <v>12</v>
      </c>
      <c r="AC398" s="28" t="s">
        <v>309</v>
      </c>
      <c r="AG398" s="26" t="s">
        <v>421</v>
      </c>
      <c r="AH398" s="26" t="s">
        <v>309</v>
      </c>
    </row>
    <row r="399" spans="25:34" x14ac:dyDescent="0.7">
      <c r="Y399" s="35" t="s">
        <v>372</v>
      </c>
      <c r="Z399" s="27" t="s">
        <v>309</v>
      </c>
      <c r="AA399" s="27" t="s">
        <v>508</v>
      </c>
      <c r="AB399" s="27" t="s">
        <v>12</v>
      </c>
      <c r="AC399" s="28" t="s">
        <v>309</v>
      </c>
      <c r="AG399" s="26" t="s">
        <v>85</v>
      </c>
      <c r="AH399" s="26" t="s">
        <v>309</v>
      </c>
    </row>
    <row r="400" spans="25:34" x14ac:dyDescent="0.7">
      <c r="Y400" s="35" t="s">
        <v>459</v>
      </c>
      <c r="Z400" s="27" t="s">
        <v>309</v>
      </c>
      <c r="AA400" s="27" t="s">
        <v>508</v>
      </c>
      <c r="AB400" s="27" t="s">
        <v>9</v>
      </c>
      <c r="AC400" s="28" t="s">
        <v>309</v>
      </c>
      <c r="AG400" s="26" t="s">
        <v>466</v>
      </c>
      <c r="AH400" s="26" t="s">
        <v>309</v>
      </c>
    </row>
    <row r="401" spans="25:34" x14ac:dyDescent="0.7">
      <c r="Y401" s="35" t="s">
        <v>455</v>
      </c>
      <c r="Z401" s="27" t="s">
        <v>309</v>
      </c>
      <c r="AA401" s="27" t="s">
        <v>508</v>
      </c>
      <c r="AB401" s="27" t="s">
        <v>14</v>
      </c>
      <c r="AC401" s="28" t="s">
        <v>309</v>
      </c>
      <c r="AG401" s="26" t="s">
        <v>141</v>
      </c>
      <c r="AH401" s="26" t="s">
        <v>309</v>
      </c>
    </row>
    <row r="402" spans="25:34" x14ac:dyDescent="0.7">
      <c r="Y402" s="35" t="s">
        <v>464</v>
      </c>
      <c r="Z402" s="27" t="s">
        <v>309</v>
      </c>
      <c r="AA402" s="27" t="s">
        <v>508</v>
      </c>
      <c r="AB402" s="27" t="s">
        <v>14</v>
      </c>
      <c r="AC402" s="28" t="s">
        <v>309</v>
      </c>
      <c r="AG402" s="26" t="s">
        <v>330</v>
      </c>
      <c r="AH402" s="26" t="s">
        <v>309</v>
      </c>
    </row>
    <row r="403" spans="25:34" x14ac:dyDescent="0.7">
      <c r="Y403" s="35" t="s">
        <v>457</v>
      </c>
      <c r="Z403" s="27" t="s">
        <v>309</v>
      </c>
      <c r="AA403" s="27" t="s">
        <v>520</v>
      </c>
      <c r="AB403" s="27" t="s">
        <v>13</v>
      </c>
      <c r="AC403" s="28" t="s">
        <v>309</v>
      </c>
      <c r="AG403" s="26" t="s">
        <v>467</v>
      </c>
      <c r="AH403" s="26" t="s">
        <v>309</v>
      </c>
    </row>
    <row r="404" spans="25:34" x14ac:dyDescent="0.7">
      <c r="Y404" s="35" t="s">
        <v>460</v>
      </c>
      <c r="Z404" s="27" t="s">
        <v>309</v>
      </c>
      <c r="AA404" s="27" t="s">
        <v>520</v>
      </c>
      <c r="AB404" s="27" t="s">
        <v>9</v>
      </c>
      <c r="AC404" s="28" t="s">
        <v>309</v>
      </c>
      <c r="AG404" s="26" t="s">
        <v>422</v>
      </c>
      <c r="AH404" s="26" t="s">
        <v>309</v>
      </c>
    </row>
    <row r="405" spans="25:34" x14ac:dyDescent="0.7">
      <c r="Y405" s="35" t="s">
        <v>467</v>
      </c>
      <c r="Z405" s="27" t="s">
        <v>309</v>
      </c>
      <c r="AA405" s="27" t="s">
        <v>520</v>
      </c>
      <c r="AB405" s="27" t="s">
        <v>11</v>
      </c>
      <c r="AC405" s="28" t="s">
        <v>309</v>
      </c>
      <c r="AG405" s="26" t="s">
        <v>453</v>
      </c>
      <c r="AH405" s="26" t="s">
        <v>309</v>
      </c>
    </row>
    <row r="406" spans="25:34" x14ac:dyDescent="0.7">
      <c r="Y406" s="35" t="s">
        <v>437</v>
      </c>
      <c r="Z406" s="27" t="s">
        <v>309</v>
      </c>
      <c r="AA406" s="27" t="s">
        <v>520</v>
      </c>
      <c r="AB406" s="27" t="s">
        <v>12</v>
      </c>
      <c r="AC406" s="28" t="s">
        <v>309</v>
      </c>
      <c r="AG406" s="26" t="s">
        <v>468</v>
      </c>
      <c r="AH406" s="26" t="s">
        <v>309</v>
      </c>
    </row>
    <row r="407" spans="25:34" x14ac:dyDescent="0.7">
      <c r="Y407" s="35" t="s">
        <v>384</v>
      </c>
      <c r="Z407" s="27" t="s">
        <v>309</v>
      </c>
      <c r="AA407" s="27" t="s">
        <v>520</v>
      </c>
      <c r="AB407" s="27" t="s">
        <v>12</v>
      </c>
      <c r="AC407" s="28" t="s">
        <v>309</v>
      </c>
      <c r="AG407" s="26" t="s">
        <v>269</v>
      </c>
      <c r="AH407" s="26" t="s">
        <v>309</v>
      </c>
    </row>
    <row r="408" spans="25:34" x14ac:dyDescent="0.7">
      <c r="Y408" s="35" t="s">
        <v>469</v>
      </c>
      <c r="Z408" s="27" t="s">
        <v>309</v>
      </c>
      <c r="AA408" s="27" t="s">
        <v>520</v>
      </c>
      <c r="AB408" s="27" t="s">
        <v>14</v>
      </c>
      <c r="AC408" s="28" t="s">
        <v>309</v>
      </c>
      <c r="AG408" s="26" t="s">
        <v>200</v>
      </c>
      <c r="AH408" s="26" t="s">
        <v>309</v>
      </c>
    </row>
    <row r="409" spans="25:34" x14ac:dyDescent="0.7">
      <c r="Y409" s="35" t="s">
        <v>410</v>
      </c>
      <c r="Z409" s="27" t="s">
        <v>309</v>
      </c>
      <c r="AA409" s="27" t="s">
        <v>520</v>
      </c>
      <c r="AB409" s="27" t="s">
        <v>13</v>
      </c>
      <c r="AC409" s="28" t="s">
        <v>309</v>
      </c>
      <c r="AG409" s="26" t="s">
        <v>247</v>
      </c>
      <c r="AH409" s="26" t="s">
        <v>309</v>
      </c>
    </row>
    <row r="410" spans="25:34" x14ac:dyDescent="0.7">
      <c r="Y410" s="35" t="s">
        <v>407</v>
      </c>
      <c r="Z410" s="27" t="s">
        <v>309</v>
      </c>
      <c r="AA410" s="27" t="s">
        <v>520</v>
      </c>
      <c r="AB410" s="27" t="s">
        <v>13</v>
      </c>
      <c r="AC410" s="28" t="s">
        <v>309</v>
      </c>
      <c r="AG410" s="26" t="s">
        <v>439</v>
      </c>
      <c r="AH410" s="26" t="s">
        <v>309</v>
      </c>
    </row>
    <row r="411" spans="25:34" x14ac:dyDescent="0.7">
      <c r="Y411" s="35" t="s">
        <v>448</v>
      </c>
      <c r="Z411" s="27" t="s">
        <v>309</v>
      </c>
      <c r="AA411" s="27" t="s">
        <v>520</v>
      </c>
      <c r="AB411" s="27" t="s">
        <v>12</v>
      </c>
      <c r="AC411" s="28" t="s">
        <v>309</v>
      </c>
      <c r="AG411" s="26" t="s">
        <v>397</v>
      </c>
      <c r="AH411" s="26" t="s">
        <v>309</v>
      </c>
    </row>
    <row r="412" spans="25:34" x14ac:dyDescent="0.7">
      <c r="Y412" s="35" t="s">
        <v>370</v>
      </c>
      <c r="Z412" s="27" t="s">
        <v>309</v>
      </c>
      <c r="AA412" s="27" t="s">
        <v>520</v>
      </c>
      <c r="AB412" s="27" t="s">
        <v>10</v>
      </c>
      <c r="AC412" s="28" t="s">
        <v>309</v>
      </c>
      <c r="AG412" s="26" t="s">
        <v>462</v>
      </c>
      <c r="AH412" s="26" t="s">
        <v>309</v>
      </c>
    </row>
    <row r="413" spans="25:34" x14ac:dyDescent="0.7">
      <c r="Y413" s="35" t="s">
        <v>463</v>
      </c>
      <c r="Z413" s="27" t="s">
        <v>309</v>
      </c>
      <c r="AA413" s="27" t="s">
        <v>520</v>
      </c>
      <c r="AB413" s="27" t="s">
        <v>14</v>
      </c>
      <c r="AC413" s="28" t="s">
        <v>309</v>
      </c>
      <c r="AG413" s="26" t="s">
        <v>291</v>
      </c>
      <c r="AH413" s="26" t="s">
        <v>309</v>
      </c>
    </row>
    <row r="414" spans="25:34" x14ac:dyDescent="0.7">
      <c r="Y414" s="35" t="s">
        <v>323</v>
      </c>
      <c r="Z414" s="27" t="s">
        <v>309</v>
      </c>
      <c r="AA414" s="27" t="s">
        <v>520</v>
      </c>
      <c r="AB414" s="27" t="s">
        <v>9</v>
      </c>
      <c r="AC414" s="28" t="s">
        <v>309</v>
      </c>
      <c r="AG414" s="26" t="s">
        <v>450</v>
      </c>
      <c r="AH414" s="26" t="s">
        <v>309</v>
      </c>
    </row>
    <row r="415" spans="25:34" x14ac:dyDescent="0.7">
      <c r="Y415" s="35" t="s">
        <v>408</v>
      </c>
      <c r="Z415" s="27" t="s">
        <v>309</v>
      </c>
      <c r="AA415" s="27" t="s">
        <v>520</v>
      </c>
      <c r="AB415" s="27" t="s">
        <v>12</v>
      </c>
      <c r="AC415" s="28" t="s">
        <v>309</v>
      </c>
      <c r="AG415" s="26" t="s">
        <v>387</v>
      </c>
      <c r="AH415" s="26" t="s">
        <v>309</v>
      </c>
    </row>
    <row r="416" spans="25:34" x14ac:dyDescent="0.7">
      <c r="Y416" s="35" t="s">
        <v>319</v>
      </c>
      <c r="Z416" s="27" t="s">
        <v>309</v>
      </c>
      <c r="AA416" s="27" t="s">
        <v>520</v>
      </c>
      <c r="AB416" s="27" t="s">
        <v>9</v>
      </c>
      <c r="AC416" s="28" t="s">
        <v>309</v>
      </c>
      <c r="AG416" s="26" t="s">
        <v>32</v>
      </c>
      <c r="AH416" s="26" t="s">
        <v>309</v>
      </c>
    </row>
    <row r="417" spans="25:34" x14ac:dyDescent="0.7">
      <c r="Y417" s="35" t="s">
        <v>385</v>
      </c>
      <c r="Z417" s="27" t="s">
        <v>309</v>
      </c>
      <c r="AA417" s="27" t="s">
        <v>515</v>
      </c>
      <c r="AB417" s="27" t="s">
        <v>14</v>
      </c>
      <c r="AC417" s="28" t="s">
        <v>309</v>
      </c>
      <c r="AG417" s="26" t="s">
        <v>251</v>
      </c>
      <c r="AH417" s="26" t="s">
        <v>309</v>
      </c>
    </row>
    <row r="418" spans="25:34" x14ac:dyDescent="0.7">
      <c r="Y418" s="35" t="s">
        <v>468</v>
      </c>
      <c r="Z418" s="27" t="s">
        <v>309</v>
      </c>
      <c r="AA418" s="27" t="s">
        <v>520</v>
      </c>
      <c r="AB418" s="27" t="s">
        <v>504</v>
      </c>
      <c r="AC418" s="28" t="s">
        <v>498</v>
      </c>
      <c r="AG418" s="26" t="s">
        <v>465</v>
      </c>
      <c r="AH418" s="26" t="s">
        <v>309</v>
      </c>
    </row>
    <row r="419" spans="25:34" x14ac:dyDescent="0.7">
      <c r="Y419" s="35" t="s">
        <v>454</v>
      </c>
      <c r="Z419" s="27" t="s">
        <v>309</v>
      </c>
      <c r="AA419" s="27" t="s">
        <v>520</v>
      </c>
      <c r="AB419" s="27" t="s">
        <v>11</v>
      </c>
      <c r="AC419" s="28" t="s">
        <v>309</v>
      </c>
      <c r="AG419" s="26" t="s">
        <v>249</v>
      </c>
      <c r="AH419" s="26" t="s">
        <v>309</v>
      </c>
    </row>
    <row r="420" spans="25:34" x14ac:dyDescent="0.7">
      <c r="Y420" s="27" t="s">
        <v>371</v>
      </c>
      <c r="Z420" s="27" t="s">
        <v>309</v>
      </c>
      <c r="AA420" s="27" t="s">
        <v>520</v>
      </c>
      <c r="AB420" s="27" t="s">
        <v>8</v>
      </c>
      <c r="AC420" s="28" t="s">
        <v>309</v>
      </c>
      <c r="AG420" s="26" t="s">
        <v>438</v>
      </c>
      <c r="AH420" s="26" t="s">
        <v>309</v>
      </c>
    </row>
    <row r="421" spans="25:34" x14ac:dyDescent="0.7">
      <c r="Y421" s="27" t="s">
        <v>456</v>
      </c>
      <c r="Z421" s="27" t="s">
        <v>309</v>
      </c>
      <c r="AA421" s="27" t="s">
        <v>520</v>
      </c>
      <c r="AB421" s="27" t="s">
        <v>497</v>
      </c>
      <c r="AC421" s="28" t="s">
        <v>498</v>
      </c>
      <c r="AG421" s="26" t="s">
        <v>320</v>
      </c>
      <c r="AH421" s="26" t="s">
        <v>309</v>
      </c>
    </row>
    <row r="422" spans="25:34" x14ac:dyDescent="0.7">
      <c r="Y422" s="27" t="s">
        <v>311</v>
      </c>
      <c r="Z422" s="27" t="s">
        <v>309</v>
      </c>
      <c r="AA422" s="27" t="s">
        <v>520</v>
      </c>
      <c r="AB422" s="27" t="s">
        <v>9</v>
      </c>
      <c r="AC422" s="28" t="s">
        <v>309</v>
      </c>
      <c r="AG422" s="26" t="s">
        <v>186</v>
      </c>
      <c r="AH422" s="26" t="s">
        <v>309</v>
      </c>
    </row>
    <row r="423" spans="25:34" x14ac:dyDescent="0.7">
      <c r="Y423" s="27" t="s">
        <v>466</v>
      </c>
      <c r="Z423" s="27" t="s">
        <v>309</v>
      </c>
      <c r="AA423" s="27" t="s">
        <v>520</v>
      </c>
      <c r="AB423" s="27" t="s">
        <v>499</v>
      </c>
      <c r="AC423" s="28" t="s">
        <v>498</v>
      </c>
      <c r="AG423" s="26" t="s">
        <v>303</v>
      </c>
      <c r="AH423" s="26" t="s">
        <v>309</v>
      </c>
    </row>
    <row r="424" spans="25:34" x14ac:dyDescent="0.7">
      <c r="Y424" s="27" t="s">
        <v>461</v>
      </c>
      <c r="Z424" s="27" t="s">
        <v>309</v>
      </c>
      <c r="AA424" s="27" t="s">
        <v>520</v>
      </c>
      <c r="AB424" s="27" t="s">
        <v>9</v>
      </c>
      <c r="AC424" s="28" t="s">
        <v>309</v>
      </c>
      <c r="AG424" s="26" t="s">
        <v>425</v>
      </c>
      <c r="AH424" s="26" t="s">
        <v>309</v>
      </c>
    </row>
    <row r="425" spans="25:34" x14ac:dyDescent="0.7">
      <c r="Y425" s="27" t="s">
        <v>381</v>
      </c>
      <c r="Z425" s="27" t="s">
        <v>309</v>
      </c>
      <c r="AA425" s="27" t="s">
        <v>520</v>
      </c>
      <c r="AB425" s="27" t="s">
        <v>497</v>
      </c>
      <c r="AC425" s="28" t="s">
        <v>498</v>
      </c>
      <c r="AG425" s="26" t="s">
        <v>101</v>
      </c>
      <c r="AH425" s="26" t="s">
        <v>309</v>
      </c>
    </row>
    <row r="426" spans="25:34" x14ac:dyDescent="0.7">
      <c r="Y426" s="27" t="s">
        <v>375</v>
      </c>
      <c r="Z426" s="27" t="s">
        <v>309</v>
      </c>
      <c r="AA426" s="27" t="s">
        <v>520</v>
      </c>
      <c r="AB426" s="27" t="s">
        <v>9</v>
      </c>
      <c r="AC426" s="28" t="s">
        <v>309</v>
      </c>
      <c r="AG426" s="26" t="s">
        <v>469</v>
      </c>
      <c r="AH426" s="26" t="s">
        <v>309</v>
      </c>
    </row>
    <row r="427" spans="25:34" x14ac:dyDescent="0.7">
      <c r="Y427" s="27" t="s">
        <v>470</v>
      </c>
      <c r="Z427" s="27" t="e">
        <v>#N/A</v>
      </c>
      <c r="AA427" s="27" t="e">
        <v>#N/A</v>
      </c>
      <c r="AB427" s="27" t="e">
        <v>#N/A</v>
      </c>
      <c r="AC427" s="28" t="s">
        <v>309</v>
      </c>
      <c r="AG427" s="26" t="s">
        <v>350</v>
      </c>
      <c r="AH427" s="26" t="s">
        <v>309</v>
      </c>
    </row>
    <row r="428" spans="25:34" x14ac:dyDescent="0.7">
      <c r="Y428" s="27" t="s">
        <v>471</v>
      </c>
      <c r="Z428" s="27" t="s">
        <v>309</v>
      </c>
      <c r="AA428" s="27">
        <v>0</v>
      </c>
      <c r="AB428" s="27" t="s">
        <v>497</v>
      </c>
      <c r="AC428" s="28" t="s">
        <v>498</v>
      </c>
      <c r="AG428" s="26" t="s">
        <v>447</v>
      </c>
      <c r="AH428" s="26" t="s">
        <v>309</v>
      </c>
    </row>
    <row r="429" spans="25:34" x14ac:dyDescent="0.7">
      <c r="Y429" s="27" t="s">
        <v>428</v>
      </c>
      <c r="Z429" s="27" t="s">
        <v>309</v>
      </c>
      <c r="AA429" s="27">
        <v>0</v>
      </c>
      <c r="AB429" s="27">
        <v>0</v>
      </c>
      <c r="AC429" s="28" t="s">
        <v>309</v>
      </c>
      <c r="AG429" s="26" t="s">
        <v>77</v>
      </c>
      <c r="AH429" s="26" t="s">
        <v>309</v>
      </c>
    </row>
    <row r="430" spans="25:34" x14ac:dyDescent="0.7">
      <c r="Y430" s="27" t="s">
        <v>472</v>
      </c>
      <c r="Z430" s="27" t="s">
        <v>309</v>
      </c>
      <c r="AA430" s="27">
        <v>0</v>
      </c>
      <c r="AB430" s="27" t="s">
        <v>11</v>
      </c>
      <c r="AC430" s="28" t="s">
        <v>309</v>
      </c>
      <c r="AG430" s="26" t="s">
        <v>341</v>
      </c>
      <c r="AH430" s="26" t="s">
        <v>309</v>
      </c>
    </row>
    <row r="431" spans="25:34" x14ac:dyDescent="0.7">
      <c r="Y431" s="27" t="s">
        <v>306</v>
      </c>
      <c r="Z431" s="27" t="s">
        <v>19</v>
      </c>
      <c r="AA431" s="27" t="s">
        <v>513</v>
      </c>
      <c r="AB431" s="27" t="s">
        <v>14</v>
      </c>
      <c r="AC431" s="28" t="s">
        <v>309</v>
      </c>
      <c r="AG431" s="26" t="s">
        <v>156</v>
      </c>
      <c r="AH431" s="26">
        <v>0</v>
      </c>
    </row>
    <row r="432" spans="25:34" x14ac:dyDescent="0.7">
      <c r="Y432" s="27" t="s">
        <v>308</v>
      </c>
      <c r="Z432" s="27" t="s">
        <v>309</v>
      </c>
      <c r="AA432" s="27" t="s">
        <v>502</v>
      </c>
      <c r="AB432" s="27" t="s">
        <v>12</v>
      </c>
      <c r="AC432" s="28" t="s">
        <v>309</v>
      </c>
      <c r="AG432" s="26" t="s">
        <v>163</v>
      </c>
      <c r="AH432" s="26">
        <v>0</v>
      </c>
    </row>
    <row r="433" spans="25:29" x14ac:dyDescent="0.7">
      <c r="Y433" s="27" t="s">
        <v>473</v>
      </c>
      <c r="Z433" s="27" t="s">
        <v>309</v>
      </c>
      <c r="AA433" s="27">
        <v>0</v>
      </c>
      <c r="AB433" s="27" t="s">
        <v>12</v>
      </c>
      <c r="AC433" s="28" t="s">
        <v>309</v>
      </c>
    </row>
    <row r="434" spans="25:29" x14ac:dyDescent="0.7">
      <c r="Y434" s="27" t="s">
        <v>286</v>
      </c>
      <c r="Z434" s="27" t="s">
        <v>19</v>
      </c>
      <c r="AA434" s="27" t="s">
        <v>513</v>
      </c>
      <c r="AB434" s="27" t="s">
        <v>9</v>
      </c>
      <c r="AC434" s="28" t="s">
        <v>309</v>
      </c>
    </row>
    <row r="435" spans="25:29" x14ac:dyDescent="0.7">
      <c r="Y435" s="27" t="s">
        <v>474</v>
      </c>
      <c r="Z435" s="27" t="s">
        <v>309</v>
      </c>
      <c r="AA435" s="27">
        <v>0</v>
      </c>
      <c r="AB435" s="27" t="s">
        <v>14</v>
      </c>
      <c r="AC435" s="28" t="s">
        <v>309</v>
      </c>
    </row>
    <row r="436" spans="25:29" x14ac:dyDescent="0.7">
      <c r="Y436" s="27" t="s">
        <v>475</v>
      </c>
      <c r="Z436" s="27" t="s">
        <v>309</v>
      </c>
      <c r="AA436" s="27">
        <v>0</v>
      </c>
      <c r="AB436" s="27" t="s">
        <v>12</v>
      </c>
      <c r="AC436" s="28" t="s">
        <v>309</v>
      </c>
    </row>
    <row r="437" spans="25:29" x14ac:dyDescent="0.7">
      <c r="Y437" s="27" t="s">
        <v>476</v>
      </c>
      <c r="Z437" s="27" t="s">
        <v>309</v>
      </c>
      <c r="AA437" s="27">
        <v>0</v>
      </c>
      <c r="AB437" s="27" t="s">
        <v>11</v>
      </c>
      <c r="AC437" s="28" t="s">
        <v>309</v>
      </c>
    </row>
    <row r="438" spans="25:29" x14ac:dyDescent="0.7">
      <c r="Y438" s="27" t="s">
        <v>477</v>
      </c>
      <c r="Z438" s="27" t="s">
        <v>309</v>
      </c>
      <c r="AA438" s="27">
        <v>0</v>
      </c>
      <c r="AB438" s="27" t="s">
        <v>11</v>
      </c>
      <c r="AC438" s="28" t="s">
        <v>309</v>
      </c>
    </row>
    <row r="439" spans="25:29" x14ac:dyDescent="0.7">
      <c r="Y439" s="27" t="s">
        <v>193</v>
      </c>
      <c r="Z439" s="27" t="s">
        <v>26</v>
      </c>
      <c r="AA439" s="27" t="s">
        <v>514</v>
      </c>
      <c r="AB439" s="27" t="s">
        <v>497</v>
      </c>
      <c r="AC439" s="28" t="s">
        <v>498</v>
      </c>
    </row>
    <row r="440" spans="25:29" x14ac:dyDescent="0.7">
      <c r="Y440" s="27" t="s">
        <v>380</v>
      </c>
      <c r="Z440" s="27" t="s">
        <v>309</v>
      </c>
      <c r="AA440" s="27" t="s">
        <v>495</v>
      </c>
      <c r="AB440" s="27" t="s">
        <v>9</v>
      </c>
      <c r="AC440" s="28" t="s">
        <v>309</v>
      </c>
    </row>
    <row r="441" spans="25:29" x14ac:dyDescent="0.7">
      <c r="Y441" s="27" t="s">
        <v>478</v>
      </c>
      <c r="Z441" s="27" t="s">
        <v>309</v>
      </c>
      <c r="AA441" s="27">
        <v>0</v>
      </c>
      <c r="AB441" s="27" t="s">
        <v>9</v>
      </c>
      <c r="AC441" s="28" t="s">
        <v>309</v>
      </c>
    </row>
    <row r="442" spans="25:29" x14ac:dyDescent="0.7">
      <c r="Y442" s="27" t="s">
        <v>479</v>
      </c>
      <c r="Z442" s="27" t="s">
        <v>309</v>
      </c>
      <c r="AA442" s="27">
        <v>0</v>
      </c>
      <c r="AB442" s="27" t="s">
        <v>11</v>
      </c>
      <c r="AC442" s="28" t="s">
        <v>309</v>
      </c>
    </row>
    <row r="443" spans="25:29" x14ac:dyDescent="0.7">
      <c r="Y443" s="27" t="s">
        <v>480</v>
      </c>
      <c r="Z443" s="27" t="s">
        <v>309</v>
      </c>
      <c r="AA443" s="27">
        <v>0</v>
      </c>
      <c r="AB443" s="27" t="s">
        <v>9</v>
      </c>
      <c r="AC443" s="28" t="s">
        <v>309</v>
      </c>
    </row>
    <row r="444" spans="25:29" x14ac:dyDescent="0.7">
      <c r="Y444" s="27" t="s">
        <v>481</v>
      </c>
      <c r="Z444" s="27" t="s">
        <v>309</v>
      </c>
      <c r="AA444" s="27">
        <v>0</v>
      </c>
      <c r="AB444" s="27" t="s">
        <v>13</v>
      </c>
      <c r="AC444" s="28" t="s">
        <v>309</v>
      </c>
    </row>
    <row r="445" spans="25:29" x14ac:dyDescent="0.7">
      <c r="Y445" s="27" t="s">
        <v>482</v>
      </c>
      <c r="Z445" s="27" t="s">
        <v>309</v>
      </c>
      <c r="AA445" s="27">
        <v>0</v>
      </c>
      <c r="AB445" s="27" t="s">
        <v>14</v>
      </c>
      <c r="AC445" s="28" t="s">
        <v>309</v>
      </c>
    </row>
    <row r="446" spans="25:29" x14ac:dyDescent="0.7">
      <c r="Y446" s="27" t="s">
        <v>483</v>
      </c>
      <c r="Z446" s="27" t="s">
        <v>309</v>
      </c>
      <c r="AA446" s="27">
        <v>0</v>
      </c>
      <c r="AB446" s="27" t="s">
        <v>497</v>
      </c>
      <c r="AC446" s="28" t="s">
        <v>498</v>
      </c>
    </row>
    <row r="447" spans="25:29" x14ac:dyDescent="0.7">
      <c r="Y447" s="27" t="s">
        <v>484</v>
      </c>
      <c r="Z447" s="27" t="s">
        <v>309</v>
      </c>
      <c r="AA447" s="27">
        <v>0</v>
      </c>
      <c r="AB447" s="27" t="s">
        <v>13</v>
      </c>
      <c r="AC447" s="28" t="s">
        <v>309</v>
      </c>
    </row>
    <row r="448" spans="25:29" x14ac:dyDescent="0.7">
      <c r="Y448" s="27" t="s">
        <v>485</v>
      </c>
      <c r="Z448" s="27" t="s">
        <v>309</v>
      </c>
      <c r="AA448" s="27">
        <v>0</v>
      </c>
      <c r="AB448" s="27" t="s">
        <v>14</v>
      </c>
      <c r="AC448" s="28" t="s">
        <v>309</v>
      </c>
    </row>
    <row r="449" spans="25:29" x14ac:dyDescent="0.7">
      <c r="Y449" s="27" t="s">
        <v>486</v>
      </c>
      <c r="Z449" s="27" t="s">
        <v>309</v>
      </c>
      <c r="AA449" s="27">
        <v>0</v>
      </c>
      <c r="AB449" s="27" t="s">
        <v>9</v>
      </c>
      <c r="AC449" s="28" t="s">
        <v>309</v>
      </c>
    </row>
    <row r="450" spans="25:29" x14ac:dyDescent="0.7">
      <c r="Y450" s="27" t="s">
        <v>487</v>
      </c>
      <c r="Z450" s="27" t="s">
        <v>309</v>
      </c>
      <c r="AA450" s="27">
        <v>0</v>
      </c>
      <c r="AB450" s="27" t="s">
        <v>8</v>
      </c>
      <c r="AC450" s="28" t="s">
        <v>309</v>
      </c>
    </row>
    <row r="451" spans="25:29" x14ac:dyDescent="0.7">
      <c r="Y451" s="27" t="s">
        <v>488</v>
      </c>
      <c r="Z451" s="27" t="s">
        <v>309</v>
      </c>
      <c r="AA451" s="27">
        <v>0</v>
      </c>
      <c r="AB451" s="27" t="s">
        <v>12</v>
      </c>
      <c r="AC451" s="28" t="s">
        <v>309</v>
      </c>
    </row>
    <row r="452" spans="25:29" x14ac:dyDescent="0.7">
      <c r="Y452" s="27" t="s">
        <v>489</v>
      </c>
      <c r="Z452" s="27" t="s">
        <v>309</v>
      </c>
      <c r="AA452" s="27">
        <v>0</v>
      </c>
      <c r="AB452" s="27" t="s">
        <v>13</v>
      </c>
      <c r="AC452" s="28" t="s">
        <v>309</v>
      </c>
    </row>
    <row r="453" spans="25:29" x14ac:dyDescent="0.7">
      <c r="Y453" s="27" t="s">
        <v>490</v>
      </c>
      <c r="Z453" s="27" t="s">
        <v>309</v>
      </c>
      <c r="AA453" s="27">
        <v>0</v>
      </c>
      <c r="AB453" s="27" t="s">
        <v>12</v>
      </c>
      <c r="AC453" s="28" t="s">
        <v>309</v>
      </c>
    </row>
    <row r="454" spans="25:29" x14ac:dyDescent="0.7">
      <c r="Y454" s="27" t="s">
        <v>491</v>
      </c>
      <c r="Z454" s="27" t="s">
        <v>309</v>
      </c>
      <c r="AA454" s="27">
        <v>0</v>
      </c>
      <c r="AB454" s="27" t="s">
        <v>9</v>
      </c>
      <c r="AC454" s="28" t="s">
        <v>309</v>
      </c>
    </row>
    <row r="455" spans="25:29" x14ac:dyDescent="0.7">
      <c r="Y455" s="27" t="s">
        <v>492</v>
      </c>
      <c r="Z455" s="27" t="s">
        <v>309</v>
      </c>
      <c r="AA455" s="27" t="s">
        <v>516</v>
      </c>
      <c r="AB455" s="27" t="s">
        <v>9</v>
      </c>
      <c r="AC455" s="28" t="s">
        <v>309</v>
      </c>
    </row>
    <row r="456" spans="25:29" x14ac:dyDescent="0.7">
      <c r="Y456" s="27" t="s">
        <v>493</v>
      </c>
      <c r="Z456" s="27" t="s">
        <v>309</v>
      </c>
      <c r="AA456" s="27">
        <v>0</v>
      </c>
      <c r="AB456" s="27" t="s">
        <v>9</v>
      </c>
      <c r="AC456" s="28" t="s">
        <v>309</v>
      </c>
    </row>
    <row r="457" spans="25:29" x14ac:dyDescent="0.7">
      <c r="Y457" s="27" t="s">
        <v>494</v>
      </c>
      <c r="Z457" s="27" t="s">
        <v>309</v>
      </c>
      <c r="AA457" s="27">
        <v>0</v>
      </c>
      <c r="AB457" s="27" t="s">
        <v>11</v>
      </c>
      <c r="AC457" s="28" t="s">
        <v>309</v>
      </c>
    </row>
  </sheetData>
  <sheetProtection sheet="1" objects="1" scenarios="1" selectLockedCells="1"/>
  <mergeCells count="71">
    <mergeCell ref="S59:S64"/>
    <mergeCell ref="B60:B64"/>
    <mergeCell ref="C60:C64"/>
    <mergeCell ref="M82:N82"/>
    <mergeCell ref="L83:M83"/>
    <mergeCell ref="B72:F72"/>
    <mergeCell ref="K74:N74"/>
    <mergeCell ref="K75:N75"/>
    <mergeCell ref="G76:G82"/>
    <mergeCell ref="L76:M76"/>
    <mergeCell ref="L78:M78"/>
    <mergeCell ref="L79:M79"/>
    <mergeCell ref="L80:M80"/>
    <mergeCell ref="L81:M81"/>
    <mergeCell ref="K82:L82"/>
    <mergeCell ref="B65:B69"/>
    <mergeCell ref="C65:C69"/>
    <mergeCell ref="R65:R69"/>
    <mergeCell ref="S65:S69"/>
    <mergeCell ref="S41:S46"/>
    <mergeCell ref="B45:B49"/>
    <mergeCell ref="C45:C49"/>
    <mergeCell ref="R47:R52"/>
    <mergeCell ref="S47:S52"/>
    <mergeCell ref="B50:B54"/>
    <mergeCell ref="C50:C54"/>
    <mergeCell ref="R53:R58"/>
    <mergeCell ref="S53:S58"/>
    <mergeCell ref="B55:B59"/>
    <mergeCell ref="C55:C59"/>
    <mergeCell ref="R59:R64"/>
    <mergeCell ref="B35:B39"/>
    <mergeCell ref="C35:C39"/>
    <mergeCell ref="R35:R40"/>
    <mergeCell ref="S35:S40"/>
    <mergeCell ref="B40:B44"/>
    <mergeCell ref="C40:C44"/>
    <mergeCell ref="R41:R46"/>
    <mergeCell ref="B25:B29"/>
    <mergeCell ref="C25:C29"/>
    <mergeCell ref="R29:R34"/>
    <mergeCell ref="S29:S34"/>
    <mergeCell ref="B30:B34"/>
    <mergeCell ref="C30:C34"/>
    <mergeCell ref="B5:B9"/>
    <mergeCell ref="C5:C9"/>
    <mergeCell ref="R5:R10"/>
    <mergeCell ref="S5:S10"/>
    <mergeCell ref="B10:B14"/>
    <mergeCell ref="C10:C14"/>
    <mergeCell ref="R11:R16"/>
    <mergeCell ref="S11:S16"/>
    <mergeCell ref="B15:B19"/>
    <mergeCell ref="C15:C19"/>
    <mergeCell ref="R17:R22"/>
    <mergeCell ref="S17:S22"/>
    <mergeCell ref="B20:B24"/>
    <mergeCell ref="C20:C24"/>
    <mergeCell ref="R23:R28"/>
    <mergeCell ref="S23:S28"/>
    <mergeCell ref="D1:Q1"/>
    <mergeCell ref="D2:Q2"/>
    <mergeCell ref="R2:S2"/>
    <mergeCell ref="I3:L3"/>
    <mergeCell ref="D4:E4"/>
    <mergeCell ref="F4:G4"/>
    <mergeCell ref="H4:I4"/>
    <mergeCell ref="J4:K4"/>
    <mergeCell ref="L4:M4"/>
    <mergeCell ref="N4:O4"/>
    <mergeCell ref="P4:Q4"/>
  </mergeCells>
  <conditionalFormatting sqref="B76">
    <cfRule type="containsBlanks" dxfId="31" priority="53">
      <formula>LEN(TRIM(B76))=0</formula>
    </cfRule>
  </conditionalFormatting>
  <conditionalFormatting sqref="C73:C74">
    <cfRule type="containsBlanks" dxfId="30" priority="59">
      <formula>LEN(TRIM(C73))=0</formula>
    </cfRule>
  </conditionalFormatting>
  <conditionalFormatting sqref="B93:F93">
    <cfRule type="expression" dxfId="29" priority="58" stopIfTrue="1">
      <formula>COUNTIF($C$74,"NO")</formula>
    </cfRule>
  </conditionalFormatting>
  <conditionalFormatting sqref="D76:D93">
    <cfRule type="duplicateValues" dxfId="28" priority="54"/>
  </conditionalFormatting>
  <conditionalFormatting sqref="D9:E9">
    <cfRule type="duplicateValues" dxfId="27" priority="46"/>
  </conditionalFormatting>
  <conditionalFormatting sqref="D76:E93">
    <cfRule type="containsBlanks" dxfId="26" priority="60">
      <formula>LEN(TRIM(D76))=0</formula>
    </cfRule>
  </conditionalFormatting>
  <conditionalFormatting sqref="D5:Q13">
    <cfRule type="expression" dxfId="25" priority="48">
      <formula>COUNTIF(_xlfn.XLOOKUP(D5,$Y$5:$Y$503,$AC$5:$AC$503),"YES")</formula>
    </cfRule>
    <cfRule type="expression" dxfId="24" priority="49">
      <formula>MATCH(D5,$AG$29:$AG$52,0)</formula>
    </cfRule>
    <cfRule type="expression" dxfId="23" priority="50">
      <formula>MATCH(D5,$AG$77:$AG$100,0)</formula>
    </cfRule>
    <cfRule type="expression" dxfId="22" priority="51">
      <formula>MATCH(D5,$AG$101:$AG$125,0)</formula>
    </cfRule>
    <cfRule type="expression" dxfId="21" priority="52">
      <formula>MATCH(D5,$AG$53:$AG$76,0)</formula>
    </cfRule>
  </conditionalFormatting>
  <conditionalFormatting sqref="D14:Q70">
    <cfRule type="expression" dxfId="20" priority="1">
      <formula>COUNTIF(_xlfn.XLOOKUP(D14,$Y$5:$Y$503,$AC$5:$AC$503),"YES")</formula>
    </cfRule>
    <cfRule type="expression" dxfId="19" priority="2">
      <formula>MATCH(D14,$AG$29:$AG$52,0)</formula>
    </cfRule>
    <cfRule type="expression" dxfId="18" priority="3">
      <formula>MATCH(D14,$AG$77:$AG$100,0)</formula>
    </cfRule>
    <cfRule type="expression" dxfId="17" priority="4">
      <formula>MATCH(D14,$AG$101:$AG$125,0)</formula>
    </cfRule>
    <cfRule type="expression" dxfId="16" priority="5">
      <formula>MATCH(D14,$AG$53:$AG$76,0)</formula>
    </cfRule>
  </conditionalFormatting>
  <conditionalFormatting sqref="E76:E93">
    <cfRule type="duplicateValues" dxfId="15" priority="55"/>
  </conditionalFormatting>
  <conditionalFormatting sqref="F9:G9">
    <cfRule type="duplicateValues" dxfId="14" priority="47"/>
  </conditionalFormatting>
  <conditionalFormatting sqref="G71:Q71">
    <cfRule type="expression" dxfId="13" priority="68">
      <formula>COUNTIF(_xlfn.XLOOKUP(G71,$Y$5:$Y$503,$AC$5:$AC$503),"YES")</formula>
    </cfRule>
    <cfRule type="expression" dxfId="12" priority="69">
      <formula>MATCH(G71,$Y$59:$Y$89,0)</formula>
    </cfRule>
    <cfRule type="expression" dxfId="11" priority="70">
      <formula>MATCH(G71,$Y$307:$Y$327,0)</formula>
    </cfRule>
    <cfRule type="expression" dxfId="10" priority="71">
      <formula>MATCH(G71,$Y$261:$Y$285,0)</formula>
    </cfRule>
    <cfRule type="expression" dxfId="9" priority="72">
      <formula>MATCH(G71,$Y$353:$Y$378,0)</formula>
    </cfRule>
  </conditionalFormatting>
  <conditionalFormatting sqref="H83 O83">
    <cfRule type="expression" dxfId="8" priority="56">
      <formula>COUNTIF($C$74,"NO")</formula>
    </cfRule>
  </conditionalFormatting>
  <conditionalFormatting sqref="I76">
    <cfRule type="cellIs" dxfId="7" priority="67" operator="greaterThan">
      <formula>0</formula>
    </cfRule>
  </conditionalFormatting>
  <conditionalFormatting sqref="I77">
    <cfRule type="cellIs" dxfId="6" priority="64" operator="greaterThan">
      <formula>3</formula>
    </cfRule>
  </conditionalFormatting>
  <conditionalFormatting sqref="I78:I80">
    <cfRule type="cellIs" dxfId="5" priority="66" operator="greaterThan">
      <formula>0</formula>
    </cfRule>
  </conditionalFormatting>
  <conditionalFormatting sqref="I81">
    <cfRule type="cellIs" dxfId="4" priority="62" operator="greaterThan">
      <formula>2</formula>
    </cfRule>
  </conditionalFormatting>
  <conditionalFormatting sqref="I82">
    <cfRule type="cellIs" dxfId="3" priority="63" operator="greaterThan">
      <formula>1</formula>
    </cfRule>
  </conditionalFormatting>
  <conditionalFormatting sqref="I83">
    <cfRule type="cellIs" dxfId="2" priority="65" operator="greaterThan">
      <formula>0</formula>
    </cfRule>
  </conditionalFormatting>
  <conditionalFormatting sqref="I84">
    <cfRule type="cellIs" dxfId="1" priority="61" operator="greaterThan">
      <formula>3</formula>
    </cfRule>
  </conditionalFormatting>
  <conditionalFormatting sqref="I83:N83">
    <cfRule type="expression" dxfId="0" priority="57">
      <formula>COUNTIF($C$74,"NO")</formula>
    </cfRule>
  </conditionalFormatting>
  <dataValidations count="6">
    <dataValidation type="list" allowBlank="1" showInputMessage="1" showErrorMessage="1" sqref="C73" xr:uid="{F048B365-D6CD-4BF2-9EC0-2B0DF173D862}">
      <formula1>"8,10,12,14"</formula1>
    </dataValidation>
    <dataValidation type="list" allowBlank="1" showInputMessage="1" showErrorMessage="1" sqref="C74" xr:uid="{DCBB7D2F-BB47-46D6-9D6B-7E4017C1290F}">
      <formula1>"YES,NO"</formula1>
    </dataValidation>
    <dataValidation type="list" allowBlank="1" showInputMessage="1" showErrorMessage="1" sqref="E76:E93" xr:uid="{00C8C35F-05D1-4052-A9E3-7E5C706EF431}">
      <formula1>"FLB,CTW 1,CTW 2,CTW 3,CTW 4,'5-8,HFB,HOK,2RF 1,2RF 2,2RF 3,FRF 1,FRF 2,FLEX,BENCH 1,BENCH 2,BENCH 3,BENCH 4"</formula1>
    </dataValidation>
    <dataValidation type="list" allowBlank="1" showInputMessage="1" showErrorMessage="1" sqref="D76:D93" xr:uid="{8A1A424B-F58C-47BC-BA25-17A50DBCF607}">
      <formula1>$Y$5:$Y$503</formula1>
    </dataValidation>
    <dataValidation type="list" allowBlank="1" showInputMessage="1" showErrorMessage="1" sqref="S1" xr:uid="{73284AE9-5EB7-4DC9-9B82-08284C4AB5C3}">
      <formula1>$W$8:$W$10</formula1>
    </dataValidation>
    <dataValidation type="list" allowBlank="1" showInputMessage="1" showErrorMessage="1" sqref="D5:Q71" xr:uid="{3BDB5FC1-7479-4C4C-831F-54D1FDD90AD2}">
      <formula1>$Y$5:$Y$422</formula1>
    </dataValidation>
  </dataValidations>
  <pageMargins left="0.17" right="0.11811023622047245" top="7.874015748031496E-2" bottom="0.27559055118110237" header="0.11811023622047245" footer="7.874015748031496E-2"/>
  <pageSetup paperSize="9" scale="40" orientation="landscape" horizontalDpi="2400" r:id="rId1"/>
  <headerFooter>
    <oddHeader>&amp;C
&amp;G</oddHeader>
    <oddFooter>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Draft Chart &amp; Pick Tracker</vt:lpstr>
      <vt:lpstr>'Draft Chart &amp; Pick Tracker'!Print_Area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Wukowic</dc:creator>
  <cp:lastModifiedBy>Josh Wukowic</cp:lastModifiedBy>
  <cp:lastPrinted>2026-01-14T12:17:06Z</cp:lastPrinted>
  <dcterms:created xsi:type="dcterms:W3CDTF">2026-01-14T12:10:50Z</dcterms:created>
  <dcterms:modified xsi:type="dcterms:W3CDTF">2026-02-13T12:56:09Z</dcterms:modified>
</cp:coreProperties>
</file>